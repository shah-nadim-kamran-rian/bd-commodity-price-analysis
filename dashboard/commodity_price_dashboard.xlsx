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bd-commodity-price-analysis-3\bd-commodity-price-analysis\dashboard\"/>
    </mc:Choice>
  </mc:AlternateContent>
  <xr:revisionPtr revIDLastSave="0" documentId="13_ncr:1_{55B5DA58-7A46-4D2D-BA75-7C174825D914}" xr6:coauthVersionLast="47" xr6:coauthVersionMax="47" xr10:uidLastSave="{00000000-0000-0000-0000-000000000000}"/>
  <bookViews>
    <workbookView xWindow="-108" yWindow="-108" windowWidth="23256" windowHeight="13176" tabRatio="734" xr2:uid="{00000000-000D-0000-FFFF-FFFF00000000}"/>
  </bookViews>
  <sheets>
    <sheet name="Dashboard" sheetId="1" r:id="rId1"/>
    <sheet name="Explorer" sheetId="2" r:id="rId2"/>
    <sheet name="q1_commodity" sheetId="3" r:id="rId3"/>
    <sheet name="q2_market" sheetId="4" r:id="rId4"/>
    <sheet name="q3_stock_level" sheetId="5" r:id="rId5"/>
    <sheet name="q4_stock_premium" sheetId="6" r:id="rId6"/>
    <sheet name="q5_market_premium" sheetId="7" r:id="rId7"/>
    <sheet name="q6_anomaly_share" sheetId="8" r:id="rId8"/>
    <sheet name="q7_index_anomaly" sheetId="9" r:id="rId9"/>
    <sheet name="q8_weather_harvest" sheetId="10" r:id="rId10"/>
    <sheet name="Dat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2" l="1"/>
  <c r="J14" i="2"/>
  <c r="G14" i="2"/>
  <c r="H14" i="2" s="1"/>
  <c r="F14" i="2"/>
  <c r="E14" i="2"/>
  <c r="D14" i="2"/>
  <c r="C14" i="2"/>
  <c r="I14" i="2" s="1"/>
  <c r="J13" i="2"/>
  <c r="G13" i="2"/>
  <c r="H13" i="2" s="1"/>
  <c r="F13" i="2"/>
  <c r="E13" i="2"/>
  <c r="D13" i="2"/>
  <c r="C13" i="2"/>
  <c r="I13" i="2" s="1"/>
  <c r="J12" i="2"/>
  <c r="G12" i="2"/>
  <c r="H12" i="2" s="1"/>
  <c r="F12" i="2"/>
  <c r="E12" i="2"/>
  <c r="D12" i="2"/>
  <c r="C12" i="2"/>
  <c r="I12" i="2" s="1"/>
  <c r="J11" i="2"/>
  <c r="G11" i="2"/>
  <c r="H11" i="2" s="1"/>
  <c r="F11" i="2"/>
  <c r="E11" i="2"/>
  <c r="D11" i="2"/>
  <c r="C11" i="2"/>
  <c r="I11" i="2" s="1"/>
  <c r="J10" i="2"/>
  <c r="G10" i="2"/>
  <c r="H10" i="2" s="1"/>
  <c r="F10" i="2"/>
  <c r="E10" i="2"/>
  <c r="D10" i="2"/>
  <c r="C10" i="2"/>
  <c r="I10" i="2" s="1"/>
  <c r="J9" i="2"/>
  <c r="G9" i="2"/>
  <c r="H9" i="2" s="1"/>
  <c r="F9" i="2"/>
  <c r="E9" i="2"/>
  <c r="D9" i="2"/>
  <c r="C9" i="2"/>
  <c r="I9" i="2" s="1"/>
  <c r="J8" i="2"/>
  <c r="G8" i="2"/>
  <c r="H8" i="2" s="1"/>
  <c r="F8" i="2"/>
  <c r="E8" i="2"/>
  <c r="D8" i="2"/>
  <c r="C8" i="2"/>
  <c r="I8" i="2" s="1"/>
  <c r="C5" i="2"/>
  <c r="L5" i="1"/>
  <c r="I5" i="1"/>
  <c r="F5" i="1"/>
  <c r="D5" i="1"/>
  <c r="B5" i="1"/>
</calcChain>
</file>

<file path=xl/sharedStrings.xml><?xml version="1.0" encoding="utf-8"?>
<sst xmlns="http://schemas.openxmlformats.org/spreadsheetml/2006/main" count="21246" uniqueCount="101">
  <si>
    <t>commodity</t>
  </si>
  <si>
    <t>unit</t>
  </si>
  <si>
    <t>observations</t>
  </si>
  <si>
    <t>avg_price</t>
  </si>
  <si>
    <t>min_price</t>
  </si>
  <si>
    <t>max_price</t>
  </si>
  <si>
    <t>std_dev</t>
  </si>
  <si>
    <t>cv_pct</t>
  </si>
  <si>
    <t>Onion</t>
  </si>
  <si>
    <t>Kg</t>
  </si>
  <si>
    <t>Garlic</t>
  </si>
  <si>
    <t>Potato</t>
  </si>
  <si>
    <t>Edible Oil</t>
  </si>
  <si>
    <t>L</t>
  </si>
  <si>
    <t>Rice</t>
  </si>
  <si>
    <t>Lentil</t>
  </si>
  <si>
    <t>market</t>
  </si>
  <si>
    <t>Khulna</t>
  </si>
  <si>
    <t>Barishal</t>
  </si>
  <si>
    <t>Chattogram</t>
  </si>
  <si>
    <t>Sylhet</t>
  </si>
  <si>
    <t>Karwan Bazar (Dhaka)</t>
  </si>
  <si>
    <t>Rajshahi</t>
  </si>
  <si>
    <t>stock_level</t>
  </si>
  <si>
    <t>stock_order</t>
  </si>
  <si>
    <t>Low</t>
  </si>
  <si>
    <t>Medium</t>
  </si>
  <si>
    <t>High</t>
  </si>
  <si>
    <t>avg_low</t>
  </si>
  <si>
    <t>avg_medium</t>
  </si>
  <si>
    <t>avg_high</t>
  </si>
  <si>
    <t>low_minus_high</t>
  </si>
  <si>
    <t>low_vs_high_pct</t>
  </si>
  <si>
    <t>n_low</t>
  </si>
  <si>
    <t>n_high</t>
  </si>
  <si>
    <t>anomaly_rows</t>
  </si>
  <si>
    <t>anomaly_share_pct</t>
  </si>
  <si>
    <t>avg_pct_vs_peer</t>
  </si>
  <si>
    <t>price_anomaly</t>
  </si>
  <si>
    <t>avg_price_index</t>
  </si>
  <si>
    <t>No anomaly flag</t>
  </si>
  <si>
    <t>Anomaly flagged</t>
  </si>
  <si>
    <t>weather</t>
  </si>
  <si>
    <t>seasonal_harvest</t>
  </si>
  <si>
    <t>Flood</t>
  </si>
  <si>
    <t>No</t>
  </si>
  <si>
    <t>Yes</t>
  </si>
  <si>
    <t>Rainy</t>
  </si>
  <si>
    <t>Sunny</t>
  </si>
  <si>
    <t>season</t>
  </si>
  <si>
    <t>city</t>
  </si>
  <si>
    <t>variety</t>
  </si>
  <si>
    <t>purchase_price</t>
  </si>
  <si>
    <t>festival_or_event</t>
  </si>
  <si>
    <t>day_of_week</t>
  </si>
  <si>
    <t>peer_median_price</t>
  </si>
  <si>
    <t>pct_vs_peer</t>
  </si>
  <si>
    <t>Summer</t>
  </si>
  <si>
    <t>Chinese Garlic</t>
  </si>
  <si>
    <t>Monday</t>
  </si>
  <si>
    <t>Winter</t>
  </si>
  <si>
    <t>Sunday</t>
  </si>
  <si>
    <t>Dhaka</t>
  </si>
  <si>
    <t>Najirshail Rice</t>
  </si>
  <si>
    <t>Thursday</t>
  </si>
  <si>
    <t>Monsoon</t>
  </si>
  <si>
    <t>Soybean Oil</t>
  </si>
  <si>
    <t>Wednesday</t>
  </si>
  <si>
    <t>Friday</t>
  </si>
  <si>
    <t>Local Garlic</t>
  </si>
  <si>
    <t>Cold Storage Potato</t>
  </si>
  <si>
    <t>BR-28 Rice</t>
  </si>
  <si>
    <t>Saturday</t>
  </si>
  <si>
    <t>Local Onion</t>
  </si>
  <si>
    <t>Indian Onion</t>
  </si>
  <si>
    <t>Imported Lentil</t>
  </si>
  <si>
    <t>Local Lentil</t>
  </si>
  <si>
    <t>Miniket Rice</t>
  </si>
  <si>
    <t>Tuesday</t>
  </si>
  <si>
    <t>Local Potato</t>
  </si>
  <si>
    <t>Palm Oil</t>
  </si>
  <si>
    <t>Bangladesh Commodity Prices: Stock Level and Price Volatility</t>
  </si>
  <si>
    <t>Volatility here means spread across purchases (CV %), not change over time. Source tables are on the q1 to q8 sheets.</t>
  </si>
  <si>
    <t>Records</t>
  </si>
  <si>
    <t>Commodities</t>
  </si>
  <si>
    <t>Price anomalies</t>
  </si>
  <si>
    <t>Least predictable price</t>
  </si>
  <si>
    <t>Biggest low-stock markup</t>
  </si>
  <si>
    <t>Where prices swing the most (CV %)</t>
  </si>
  <si>
    <t>Market</t>
  </si>
  <si>
    <t>Low vs high stock price gap by market</t>
  </si>
  <si>
    <t>Commodity Explorer</t>
  </si>
  <si>
    <t>Pick a commodity in the yellow cell. The table and chart recalculate with Excel formulas.</t>
  </si>
  <si>
    <t>Commodity</t>
  </si>
  <si>
    <t>Priced per</t>
  </si>
  <si>
    <t>Rows</t>
  </si>
  <si>
    <t>Avg price</t>
  </si>
  <si>
    <t>CV %</t>
  </si>
  <si>
    <t>Low vs high</t>
  </si>
  <si>
    <t>Anomaly share</t>
  </si>
  <si>
    <t>All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</si>
</sst>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%&quot;"/>
    <numFmt numFmtId="165" formatCode="\+0.0&quot;%&quot;;\-0.0&quot;%&quot;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8"/>
      <color rgb="FF1F3B57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3B5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u/>
      <sz val="11"/>
      <color rgb="FF2E86AB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9" fillId="4" borderId="2" xfId="0" applyFont="1" applyFill="1" applyBorder="1"/>
    <xf numFmtId="4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9" fillId="3" borderId="1" xfId="0" applyFont="1" applyFill="1" applyBorder="1"/>
    <xf numFmtId="4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1" fillId="0" borderId="0" xfId="0" applyFont="1"/>
    <xf numFmtId="0" fontId="10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27">
    <dxf>
      <numFmt numFmtId="164" formatCode="0.0&quot;%&quot;"/>
    </dxf>
    <dxf>
      <numFmt numFmtId="4" formatCode="#,##0.00"/>
    </dxf>
    <dxf>
      <numFmt numFmtId="4" formatCode="#,##0.00"/>
    </dxf>
    <dxf>
      <numFmt numFmtId="166" formatCode="0.0"/>
    </dxf>
    <dxf>
      <numFmt numFmtId="166" formatCode="0.0"/>
    </dxf>
    <dxf>
      <numFmt numFmtId="4" formatCode="#,##0.00"/>
    </dxf>
    <dxf>
      <numFmt numFmtId="164" formatCode="0.0&quot;%&quot;"/>
    </dxf>
    <dxf>
      <numFmt numFmtId="164" formatCode="0.0&quot;%&quot;"/>
    </dxf>
    <dxf>
      <numFmt numFmtId="4" formatCode="#,##0.00"/>
    </dxf>
    <dxf>
      <numFmt numFmtId="4" formatCode="#,##0.00"/>
    </dxf>
    <dxf>
      <numFmt numFmtId="164" formatCode="0.0&quot;%&quot;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&quot;%&quot;"/>
    </dxf>
    <dxf>
      <numFmt numFmtId="4" formatCode="#,##0.00"/>
    </dxf>
    <dxf>
      <numFmt numFmtId="4" formatCode="#,##0.00"/>
    </dxf>
    <dxf>
      <numFmt numFmtId="164" formatCode="0.0&quot;%&quot;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spread by commodity (CV 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CV %</c:v>
          </c:tx>
          <c:spPr>
            <a:solidFill>
              <a:srgbClr val="1F3B57"/>
            </a:solidFill>
          </c:spPr>
          <c:invertIfNegative val="0"/>
          <c:dLbls>
            <c:numFmt formatCode="0.0&quot;%&quot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q1_commodity!$A$2:$A$7</c:f>
              <c:strCache>
                <c:ptCount val="6"/>
                <c:pt idx="0">
                  <c:v>Onion</c:v>
                </c:pt>
                <c:pt idx="1">
                  <c:v>Garlic</c:v>
                </c:pt>
                <c:pt idx="2">
                  <c:v>Potato</c:v>
                </c:pt>
                <c:pt idx="3">
                  <c:v>Edible Oil</c:v>
                </c:pt>
                <c:pt idx="4">
                  <c:v>Rice</c:v>
                </c:pt>
                <c:pt idx="5">
                  <c:v>Lentil</c:v>
                </c:pt>
              </c:strCache>
            </c:strRef>
          </c:cat>
          <c:val>
            <c:numRef>
              <c:f>q1_commodity!$H$2:$H$7</c:f>
              <c:numCache>
                <c:formatCode>0.0"%"</c:formatCode>
                <c:ptCount val="6"/>
                <c:pt idx="0">
                  <c:v>18</c:v>
                </c:pt>
                <c:pt idx="1">
                  <c:v>13.4</c:v>
                </c:pt>
                <c:pt idx="2">
                  <c:v>13.4</c:v>
                </c:pt>
                <c:pt idx="3">
                  <c:v>11</c:v>
                </c:pt>
                <c:pt idx="4">
                  <c:v>10.8</c:v>
                </c:pt>
                <c:pt idx="5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C-452F-8F33-5D198BB2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0&quot;%&quot;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Low stock vs high stock price gap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Low vs high stock</c:v>
          </c:tx>
          <c:spPr>
            <a:solidFill>
              <a:srgbClr val="C0392B"/>
            </a:solidFill>
          </c:spPr>
          <c:invertIfNegative val="0"/>
          <c:dLbls>
            <c:numFmt formatCode="\+0.0&quot;%&quot;;\-0.0&quot;%&quot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q4_stock_premium!$A$2:$A$7</c:f>
              <c:strCache>
                <c:ptCount val="6"/>
                <c:pt idx="0">
                  <c:v>Edible Oil</c:v>
                </c:pt>
                <c:pt idx="1">
                  <c:v>Rice</c:v>
                </c:pt>
                <c:pt idx="2">
                  <c:v>Garlic</c:v>
                </c:pt>
                <c:pt idx="3">
                  <c:v>Lentil</c:v>
                </c:pt>
                <c:pt idx="4">
                  <c:v>Potato</c:v>
                </c:pt>
                <c:pt idx="5">
                  <c:v>Onion</c:v>
                </c:pt>
              </c:strCache>
            </c:strRef>
          </c:cat>
          <c:val>
            <c:numRef>
              <c:f>q4_stock_premium!$F$2:$F$7</c:f>
              <c:numCache>
                <c:formatCode>0.0"%"</c:formatCode>
                <c:ptCount val="6"/>
                <c:pt idx="0">
                  <c:v>18.3</c:v>
                </c:pt>
                <c:pt idx="1">
                  <c:v>17.2</c:v>
                </c:pt>
                <c:pt idx="2">
                  <c:v>16.3</c:v>
                </c:pt>
                <c:pt idx="3">
                  <c:v>15.5</c:v>
                </c:pt>
                <c:pt idx="4">
                  <c:v>14.9</c:v>
                </c:pt>
                <c:pt idx="5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0-46DB-AC74-155006C97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0&quot;%&quot;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index by stock level (100 = commodity average)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 anomaly flag</c:v>
          </c:tx>
          <c:spPr>
            <a:solidFill>
              <a:srgbClr val="2E86AB"/>
            </a:solidFill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q7_index_anomaly!$H$2:$H$4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q7_index_anomaly!$I$2:$I$4</c:f>
              <c:numCache>
                <c:formatCode>0.0</c:formatCode>
                <c:ptCount val="3"/>
                <c:pt idx="0">
                  <c:v>104.3</c:v>
                </c:pt>
                <c:pt idx="1">
                  <c:v>97.2</c:v>
                </c:pt>
                <c:pt idx="2">
                  <c:v>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8-4716-949C-5CB6C6123F62}"/>
            </c:ext>
          </c:extLst>
        </c:ser>
        <c:ser>
          <c:idx val="1"/>
          <c:order val="1"/>
          <c:tx>
            <c:v>Anomaly flagged</c:v>
          </c:tx>
          <c:spPr>
            <a:solidFill>
              <a:srgbClr val="C0392B"/>
            </a:solidFill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q7_index_anomaly!$H$2:$H$4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q7_index_anomaly!$J$2:$J$4</c:f>
              <c:numCache>
                <c:formatCode>0.0</c:formatCode>
                <c:ptCount val="3"/>
                <c:pt idx="0">
                  <c:v>119.6</c:v>
                </c:pt>
                <c:pt idx="1">
                  <c:v>119.9</c:v>
                </c:pt>
                <c:pt idx="2">
                  <c:v>119.7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38-4716-949C-5CB6C6123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Explorer!$B$16</c:f>
          <c:strCache>
            <c:ptCount val="1"/>
            <c:pt idx="0">
              <c:v>Average Onion price per Kg by market and stock level</c:v>
            </c:pt>
          </c:strCache>
        </c:strRef>
      </c:tx>
      <c:overlay val="0"/>
      <c:txPr>
        <a:bodyPr/>
        <a:lstStyle/>
        <a:p>
          <a:pPr>
            <a:defRPr sz="1200" baseline="0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Low</c:v>
          </c:tx>
          <c:spPr>
            <a:solidFill>
              <a:srgbClr val="C0392B"/>
            </a:solidFill>
          </c:spPr>
          <c:invertIfNegative val="0"/>
          <c:cat>
            <c:strRef>
              <c:f>Explorer!$B$8:$B$13</c:f>
              <c:strCache>
                <c:ptCount val="6"/>
                <c:pt idx="0">
                  <c:v>Barishal</c:v>
                </c:pt>
                <c:pt idx="1">
                  <c:v>Chattogram</c:v>
                </c:pt>
                <c:pt idx="2">
                  <c:v>Karwan Bazar (Dhaka)</c:v>
                </c:pt>
                <c:pt idx="3">
                  <c:v>Khulna</c:v>
                </c:pt>
                <c:pt idx="4">
                  <c:v>Rajshahi</c:v>
                </c:pt>
                <c:pt idx="5">
                  <c:v>Sylhet</c:v>
                </c:pt>
              </c:strCache>
            </c:strRef>
          </c:cat>
          <c:val>
            <c:numRef>
              <c:f>Explorer!$C$8:$C$13</c:f>
              <c:numCache>
                <c:formatCode>#,##0.00</c:formatCode>
                <c:ptCount val="6"/>
                <c:pt idx="0">
                  <c:v>106.92999999999999</c:v>
                </c:pt>
                <c:pt idx="1">
                  <c:v>90.418823529411767</c:v>
                </c:pt>
                <c:pt idx="2">
                  <c:v>89.756</c:v>
                </c:pt>
                <c:pt idx="3">
                  <c:v>91.013333333333321</c:v>
                </c:pt>
                <c:pt idx="4">
                  <c:v>93.664999999999978</c:v>
                </c:pt>
                <c:pt idx="5">
                  <c:v>89.744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2-46E6-A78B-CEAC25D07D00}"/>
            </c:ext>
          </c:extLst>
        </c:ser>
        <c:ser>
          <c:idx val="1"/>
          <c:order val="1"/>
          <c:tx>
            <c:v>Medium</c:v>
          </c:tx>
          <c:spPr>
            <a:solidFill>
              <a:srgbClr val="95A5A6"/>
            </a:solidFill>
          </c:spPr>
          <c:invertIfNegative val="0"/>
          <c:cat>
            <c:strRef>
              <c:f>Explorer!$B$8:$B$13</c:f>
              <c:strCache>
                <c:ptCount val="6"/>
                <c:pt idx="0">
                  <c:v>Barishal</c:v>
                </c:pt>
                <c:pt idx="1">
                  <c:v>Chattogram</c:v>
                </c:pt>
                <c:pt idx="2">
                  <c:v>Karwan Bazar (Dhaka)</c:v>
                </c:pt>
                <c:pt idx="3">
                  <c:v>Khulna</c:v>
                </c:pt>
                <c:pt idx="4">
                  <c:v>Rajshahi</c:v>
                </c:pt>
                <c:pt idx="5">
                  <c:v>Sylhet</c:v>
                </c:pt>
              </c:strCache>
            </c:strRef>
          </c:cat>
          <c:val>
            <c:numRef>
              <c:f>Explorer!$D$8:$D$13</c:f>
              <c:numCache>
                <c:formatCode>#,##0.00</c:formatCode>
                <c:ptCount val="6"/>
                <c:pt idx="0">
                  <c:v>80.275294117647064</c:v>
                </c:pt>
                <c:pt idx="1">
                  <c:v>89.100857142857166</c:v>
                </c:pt>
                <c:pt idx="2">
                  <c:v>83.858611111111117</c:v>
                </c:pt>
                <c:pt idx="3">
                  <c:v>80.255263157894731</c:v>
                </c:pt>
                <c:pt idx="4">
                  <c:v>84.523529411764713</c:v>
                </c:pt>
                <c:pt idx="5">
                  <c:v>84.215263157894739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2-46E6-A78B-CEAC25D07D00}"/>
            </c:ext>
          </c:extLst>
        </c:ser>
        <c:ser>
          <c:idx val="2"/>
          <c:order val="2"/>
          <c:tx>
            <c:v>High</c:v>
          </c:tx>
          <c:spPr>
            <a:solidFill>
              <a:srgbClr val="2E86AB"/>
            </a:solidFill>
          </c:spPr>
          <c:invertIfNegative val="0"/>
          <c:cat>
            <c:strRef>
              <c:f>Explorer!$B$8:$B$13</c:f>
              <c:strCache>
                <c:ptCount val="6"/>
                <c:pt idx="0">
                  <c:v>Barishal</c:v>
                </c:pt>
                <c:pt idx="1">
                  <c:v>Chattogram</c:v>
                </c:pt>
                <c:pt idx="2">
                  <c:v>Karwan Bazar (Dhaka)</c:v>
                </c:pt>
                <c:pt idx="3">
                  <c:v>Khulna</c:v>
                </c:pt>
                <c:pt idx="4">
                  <c:v>Rajshahi</c:v>
                </c:pt>
                <c:pt idx="5">
                  <c:v>Sylhet</c:v>
                </c:pt>
              </c:strCache>
            </c:strRef>
          </c:cat>
          <c:val>
            <c:numRef>
              <c:f>Explorer!$E$8:$E$13</c:f>
              <c:numCache>
                <c:formatCode>#,##0.00</c:formatCode>
                <c:ptCount val="6"/>
                <c:pt idx="0">
                  <c:v>83.141999999999996</c:v>
                </c:pt>
                <c:pt idx="1">
                  <c:v>81.207857142857151</c:v>
                </c:pt>
                <c:pt idx="2">
                  <c:v>82.261818181818171</c:v>
                </c:pt>
                <c:pt idx="3">
                  <c:v>84.196153846153862</c:v>
                </c:pt>
                <c:pt idx="4">
                  <c:v>80.899000000000001</c:v>
                </c:pt>
                <c:pt idx="5">
                  <c:v>89.464999999999989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B2-46E6-A78B-CEAC25D07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7</xdr:col>
      <xdr:colOff>228600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32658</xdr:colOff>
      <xdr:row>6</xdr:row>
      <xdr:rowOff>28576</xdr:rowOff>
    </xdr:from>
    <xdr:to>
      <xdr:col>15</xdr:col>
      <xdr:colOff>10886</xdr:colOff>
      <xdr:row>19</xdr:row>
      <xdr:rowOff>141515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180974</xdr:colOff>
      <xdr:row>21</xdr:row>
      <xdr:rowOff>180974</xdr:rowOff>
    </xdr:from>
    <xdr:to>
      <xdr:col>7</xdr:col>
      <xdr:colOff>352424</xdr:colOff>
      <xdr:row>38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8</xdr:col>
      <xdr:colOff>180975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q1_commodity" displayName="tbl_q1_commodity" ref="A1:H7" totalsRowShown="0">
  <autoFilter ref="A1:H7" xr:uid="{00000000-0009-0000-0100-000001000000}"/>
  <tableColumns count="8">
    <tableColumn id="1" xr3:uid="{00000000-0010-0000-0000-000001000000}" name="commodity"/>
    <tableColumn id="2" xr3:uid="{00000000-0010-0000-0000-000002000000}" name="unit"/>
    <tableColumn id="3" xr3:uid="{00000000-0010-0000-0000-000003000000}" name="observations"/>
    <tableColumn id="4" xr3:uid="{00000000-0010-0000-0000-000004000000}" name="avg_price" dataDxfId="26"/>
    <tableColumn id="5" xr3:uid="{00000000-0010-0000-0000-000005000000}" name="min_price" dataDxfId="25"/>
    <tableColumn id="6" xr3:uid="{00000000-0010-0000-0000-000006000000}" name="max_price" dataDxfId="24"/>
    <tableColumn id="7" xr3:uid="{00000000-0010-0000-0000-000007000000}" name="std_dev" dataDxfId="23"/>
    <tableColumn id="8" xr3:uid="{00000000-0010-0000-0000-000008000000}" name="cv_pct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q2_market" displayName="tbl_q2_market" ref="A1:F37" totalsRowShown="0">
  <autoFilter ref="A1:F37" xr:uid="{00000000-0009-0000-0100-000002000000}"/>
  <tableColumns count="6">
    <tableColumn id="1" xr3:uid="{00000000-0010-0000-0100-000001000000}" name="commodity"/>
    <tableColumn id="2" xr3:uid="{00000000-0010-0000-0100-000002000000}" name="market"/>
    <tableColumn id="3" xr3:uid="{00000000-0010-0000-0100-000003000000}" name="observations"/>
    <tableColumn id="4" xr3:uid="{00000000-0010-0000-0100-000004000000}" name="avg_price" dataDxfId="21"/>
    <tableColumn id="5" xr3:uid="{00000000-0010-0000-0100-000005000000}" name="std_dev" dataDxfId="20"/>
    <tableColumn id="6" xr3:uid="{00000000-0010-0000-0100-000006000000}" name="cv_pct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q3_stock_level" displayName="tbl_q3_stock_level" ref="A1:H19" totalsRowShown="0">
  <autoFilter ref="A1:H19" xr:uid="{00000000-0009-0000-0100-000003000000}"/>
  <tableColumns count="8">
    <tableColumn id="1" xr3:uid="{00000000-0010-0000-0200-000001000000}" name="commodity"/>
    <tableColumn id="2" xr3:uid="{00000000-0010-0000-0200-000002000000}" name="stock_level"/>
    <tableColumn id="3" xr3:uid="{00000000-0010-0000-0200-000003000000}" name="stock_order"/>
    <tableColumn id="4" xr3:uid="{00000000-0010-0000-0200-000004000000}" name="observations"/>
    <tableColumn id="5" xr3:uid="{00000000-0010-0000-0200-000005000000}" name="avg_price" dataDxfId="18"/>
    <tableColumn id="6" xr3:uid="{00000000-0010-0000-0200-000006000000}" name="min_price" dataDxfId="17"/>
    <tableColumn id="7" xr3:uid="{00000000-0010-0000-0200-000007000000}" name="max_price" dataDxfId="16"/>
    <tableColumn id="8" xr3:uid="{00000000-0010-0000-0200-000008000000}" name="std_dev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q4_stock_premium" displayName="tbl_q4_stock_premium" ref="A1:F7" totalsRowShown="0">
  <autoFilter ref="A1:F7" xr:uid="{00000000-0009-0000-0100-000004000000}"/>
  <tableColumns count="6">
    <tableColumn id="1" xr3:uid="{00000000-0010-0000-0300-000001000000}" name="commodity"/>
    <tableColumn id="2" xr3:uid="{00000000-0010-0000-0300-000002000000}" name="avg_low" dataDxfId="14"/>
    <tableColumn id="3" xr3:uid="{00000000-0010-0000-0300-000003000000}" name="avg_medium" dataDxfId="13"/>
    <tableColumn id="4" xr3:uid="{00000000-0010-0000-0300-000004000000}" name="avg_high" dataDxfId="12"/>
    <tableColumn id="5" xr3:uid="{00000000-0010-0000-0300-000005000000}" name="low_minus_high" dataDxfId="11"/>
    <tableColumn id="6" xr3:uid="{00000000-0010-0000-0300-000006000000}" name="low_vs_high_pct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q5_market_premium" displayName="tbl_q5_market_premium" ref="A1:G37" totalsRowShown="0">
  <autoFilter ref="A1:G37" xr:uid="{00000000-0009-0000-0100-000005000000}"/>
  <tableColumns count="7">
    <tableColumn id="1" xr3:uid="{00000000-0010-0000-0400-000001000000}" name="commodity"/>
    <tableColumn id="2" xr3:uid="{00000000-0010-0000-0400-000002000000}" name="market"/>
    <tableColumn id="3" xr3:uid="{00000000-0010-0000-0400-000003000000}" name="n_low"/>
    <tableColumn id="4" xr3:uid="{00000000-0010-0000-0400-000004000000}" name="n_high"/>
    <tableColumn id="5" xr3:uid="{00000000-0010-0000-0400-000005000000}" name="avg_low" dataDxfId="9"/>
    <tableColumn id="6" xr3:uid="{00000000-0010-0000-0400-000006000000}" name="avg_high" dataDxfId="8"/>
    <tableColumn id="7" xr3:uid="{00000000-0010-0000-0400-000007000000}" name="low_vs_high_pct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q6_anomaly_share" displayName="tbl_q6_anomaly_share" ref="A1:E4" totalsRowShown="0">
  <autoFilter ref="A1:E4" xr:uid="{00000000-0009-0000-0100-000006000000}"/>
  <tableColumns count="5">
    <tableColumn id="1" xr3:uid="{00000000-0010-0000-0500-000001000000}" name="stock_level"/>
    <tableColumn id="2" xr3:uid="{00000000-0010-0000-0500-000002000000}" name="observations"/>
    <tableColumn id="3" xr3:uid="{00000000-0010-0000-0500-000003000000}" name="anomaly_rows"/>
    <tableColumn id="4" xr3:uid="{00000000-0010-0000-0500-000004000000}" name="anomaly_share_pct" dataDxfId="6"/>
    <tableColumn id="5" xr3:uid="{00000000-0010-0000-0500-000005000000}" name="avg_pct_vs_peer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q7_index_anomaly" displayName="tbl_q7_index_anomaly" ref="A1:E7" totalsRowShown="0">
  <autoFilter ref="A1:E7" xr:uid="{00000000-0009-0000-0100-000007000000}"/>
  <tableColumns count="5">
    <tableColumn id="1" xr3:uid="{00000000-0010-0000-0600-000001000000}" name="stock_level"/>
    <tableColumn id="2" xr3:uid="{00000000-0010-0000-0600-000002000000}" name="stock_order"/>
    <tableColumn id="3" xr3:uid="{00000000-0010-0000-0600-000003000000}" name="price_anomaly"/>
    <tableColumn id="4" xr3:uid="{00000000-0010-0000-0600-000004000000}" name="observations"/>
    <tableColumn id="5" xr3:uid="{00000000-0010-0000-0600-000005000000}" name="avg_price_index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q8_weather_harvest" displayName="tbl_q8_weather_harvest" ref="A1:D7" totalsRowShown="0">
  <autoFilter ref="A1:D7" xr:uid="{00000000-0009-0000-0100-000008000000}"/>
  <tableColumns count="4">
    <tableColumn id="1" xr3:uid="{00000000-0010-0000-0700-000001000000}" name="weather"/>
    <tableColumn id="2" xr3:uid="{00000000-0010-0000-0700-000002000000}" name="seasonal_harvest"/>
    <tableColumn id="3" xr3:uid="{00000000-0010-0000-0700-000003000000}" name="observations"/>
    <tableColumn id="4" xr3:uid="{00000000-0010-0000-0700-000004000000}" name="avg_price_index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data" displayName="tbl_data" ref="A1:P1901" totalsRowShown="0">
  <autoFilter ref="A1:P1901" xr:uid="{00000000-0009-0000-0100-000009000000}"/>
  <tableColumns count="16">
    <tableColumn id="1" xr3:uid="{00000000-0010-0000-0800-000001000000}" name="season"/>
    <tableColumn id="2" xr3:uid="{00000000-0010-0000-0800-000002000000}" name="market"/>
    <tableColumn id="3" xr3:uid="{00000000-0010-0000-0800-000003000000}" name="city"/>
    <tableColumn id="4" xr3:uid="{00000000-0010-0000-0800-000004000000}" name="commodity"/>
    <tableColumn id="5" xr3:uid="{00000000-0010-0000-0800-000005000000}" name="variety"/>
    <tableColumn id="6" xr3:uid="{00000000-0010-0000-0800-000006000000}" name="unit"/>
    <tableColumn id="7" xr3:uid="{00000000-0010-0000-0800-000007000000}" name="purchase_price" dataDxfId="2"/>
    <tableColumn id="8" xr3:uid="{00000000-0010-0000-0800-000008000000}" name="stock_level"/>
    <tableColumn id="9" xr3:uid="{00000000-0010-0000-0800-000009000000}" name="stock_order"/>
    <tableColumn id="10" xr3:uid="{00000000-0010-0000-0800-00000A000000}" name="weather"/>
    <tableColumn id="11" xr3:uid="{00000000-0010-0000-0800-00000B000000}" name="seasonal_harvest"/>
    <tableColumn id="12" xr3:uid="{00000000-0010-0000-0800-00000C000000}" name="festival_or_event"/>
    <tableColumn id="13" xr3:uid="{00000000-0010-0000-0800-00000D000000}" name="day_of_week"/>
    <tableColumn id="14" xr3:uid="{00000000-0010-0000-0800-00000E000000}" name="peer_median_price" dataDxfId="1"/>
    <tableColumn id="15" xr3:uid="{00000000-0010-0000-0800-00000F000000}" name="pct_vs_peer" dataDxfId="0"/>
    <tableColumn id="16" xr3:uid="{00000000-0010-0000-0800-000010000000}" name="price_anomal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2"/>
  <sheetViews>
    <sheetView showGridLines="0" tabSelected="1" topLeftCell="A7" zoomScale="70" zoomScaleNormal="70" workbookViewId="0">
      <selection activeCell="F47" sqref="F47"/>
    </sheetView>
  </sheetViews>
  <sheetFormatPr defaultRowHeight="14.4" x14ac:dyDescent="0.3"/>
  <cols>
    <col min="1" max="1" width="2.6640625" customWidth="1"/>
    <col min="2" max="8" width="13.6640625" customWidth="1"/>
    <col min="9" max="9" width="22.6640625" customWidth="1"/>
    <col min="10" max="14" width="13.6640625" customWidth="1"/>
    <col min="15" max="15" width="13.5546875" customWidth="1"/>
  </cols>
  <sheetData>
    <row r="1" spans="2:15" ht="28.05" customHeight="1" x14ac:dyDescent="0.45">
      <c r="B1" s="18" t="s">
        <v>81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2:15" x14ac:dyDescent="0.3">
      <c r="B2" s="19" t="s">
        <v>82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4" spans="2:15" x14ac:dyDescent="0.3">
      <c r="B4" s="21" t="s">
        <v>83</v>
      </c>
      <c r="C4" s="21"/>
      <c r="D4" s="21" t="s">
        <v>84</v>
      </c>
      <c r="E4" s="21"/>
      <c r="F4" s="21" t="s">
        <v>85</v>
      </c>
      <c r="G4" s="21"/>
      <c r="I4" s="21" t="s">
        <v>86</v>
      </c>
      <c r="J4" s="21"/>
      <c r="K4" s="21"/>
      <c r="L4" s="21" t="s">
        <v>87</v>
      </c>
      <c r="M4" s="21"/>
      <c r="N4" s="21"/>
      <c r="O4" s="21"/>
    </row>
    <row r="5" spans="2:15" ht="31.95" customHeight="1" x14ac:dyDescent="0.3">
      <c r="B5" s="22">
        <f>COUNTA(Data!$D$2:$D$1901)</f>
        <v>1900</v>
      </c>
      <c r="C5" s="22"/>
      <c r="D5" s="22">
        <f>SUMPRODUCT(1/COUNTIF(Data!$D$2:$D$1901,Data!$D$2:$D$1901))</f>
        <v>5.9999999999999982</v>
      </c>
      <c r="E5" s="22"/>
      <c r="F5" s="23" t="str">
        <f>TEXT(SUM(Data!$P$2:$P$1901),"#,##0")&amp;" ("&amp;TEXT(SUM(Data!$P$2:$P$1901)/COUNT(Data!$P$2:$P$1901),"0%")&amp;")"</f>
        <v>232 (12%)</v>
      </c>
      <c r="G5" s="23"/>
      <c r="I5" s="23" t="str">
        <f>INDEX(q1_commodity!$A$2:$A$7,MATCH(MAX(q1_commodity!$H$2:$H$7),q1_commodity!$H$2:$H$7,0))&amp;" ("&amp;TEXT(MAX(q1_commodity!$H$2:$H$7),"0.0")&amp;"% CV)"</f>
        <v>Onion (18.0% CV)</v>
      </c>
      <c r="J5" s="23"/>
      <c r="K5" s="23"/>
      <c r="L5" s="23" t="str">
        <f>INDEX(q4_stock_premium!$A$2:$A$7,MATCH(MAX(q4_stock_premium!$F$2:$F$7),q4_stock_premium!$F$2:$F$7,0))&amp;" ("&amp;TEXT(MAX(q4_stock_premium!$F$2:$F$7),"+0.0;-0.0")&amp;"%)"</f>
        <v>Edible Oil (+18.3%)</v>
      </c>
      <c r="M5" s="23"/>
      <c r="N5" s="23"/>
      <c r="O5" s="23"/>
    </row>
    <row r="23" spans="9:15" ht="15.6" x14ac:dyDescent="0.3">
      <c r="I23" s="2" t="s">
        <v>88</v>
      </c>
    </row>
    <row r="24" spans="9:15" x14ac:dyDescent="0.3">
      <c r="I24" s="3" t="s">
        <v>89</v>
      </c>
      <c r="J24" s="3" t="s">
        <v>12</v>
      </c>
      <c r="K24" s="3" t="s">
        <v>10</v>
      </c>
      <c r="L24" s="3" t="s">
        <v>15</v>
      </c>
      <c r="M24" s="3" t="s">
        <v>8</v>
      </c>
      <c r="N24" s="3" t="s">
        <v>11</v>
      </c>
      <c r="O24" s="3" t="s">
        <v>14</v>
      </c>
    </row>
    <row r="25" spans="9:15" x14ac:dyDescent="0.3">
      <c r="I25" s="4" t="s">
        <v>18</v>
      </c>
      <c r="J25" s="5">
        <v>7.5</v>
      </c>
      <c r="K25" s="5">
        <v>11.4</v>
      </c>
      <c r="L25" s="5">
        <v>11</v>
      </c>
      <c r="M25" s="5">
        <v>20.9</v>
      </c>
      <c r="N25" s="5">
        <v>14.1</v>
      </c>
      <c r="O25" s="5">
        <v>11</v>
      </c>
    </row>
    <row r="26" spans="9:15" x14ac:dyDescent="0.3">
      <c r="I26" s="4" t="s">
        <v>19</v>
      </c>
      <c r="J26" s="5">
        <v>12.2</v>
      </c>
      <c r="K26" s="5">
        <v>12.7</v>
      </c>
      <c r="L26" s="5">
        <v>9.4</v>
      </c>
      <c r="M26" s="5">
        <v>16.600000000000001</v>
      </c>
      <c r="N26" s="5">
        <v>13.4</v>
      </c>
      <c r="O26" s="5">
        <v>10.6</v>
      </c>
    </row>
    <row r="27" spans="9:15" x14ac:dyDescent="0.3">
      <c r="I27" s="4" t="s">
        <v>21</v>
      </c>
      <c r="J27" s="5">
        <v>11.1</v>
      </c>
      <c r="K27" s="5">
        <v>14.3</v>
      </c>
      <c r="L27" s="5">
        <v>9.8000000000000007</v>
      </c>
      <c r="M27" s="5">
        <v>19.100000000000001</v>
      </c>
      <c r="N27" s="5">
        <v>12.9</v>
      </c>
      <c r="O27" s="5">
        <v>11.8</v>
      </c>
    </row>
    <row r="28" spans="9:15" x14ac:dyDescent="0.3">
      <c r="I28" s="4" t="s">
        <v>17</v>
      </c>
      <c r="J28" s="5">
        <v>9.9</v>
      </c>
      <c r="K28" s="5">
        <v>12.2</v>
      </c>
      <c r="L28" s="5">
        <v>10.7</v>
      </c>
      <c r="M28" s="5">
        <v>18.8</v>
      </c>
      <c r="N28" s="5">
        <v>13.6</v>
      </c>
      <c r="O28" s="5">
        <v>10.5</v>
      </c>
    </row>
    <row r="29" spans="9:15" x14ac:dyDescent="0.3">
      <c r="I29" s="4" t="s">
        <v>22</v>
      </c>
      <c r="J29" s="5">
        <v>10.6</v>
      </c>
      <c r="K29" s="5">
        <v>14.9</v>
      </c>
      <c r="L29" s="5">
        <v>9.9</v>
      </c>
      <c r="M29" s="5">
        <v>17.3</v>
      </c>
      <c r="N29" s="5">
        <v>13.5</v>
      </c>
      <c r="O29" s="5">
        <v>10.4</v>
      </c>
    </row>
    <row r="30" spans="9:15" x14ac:dyDescent="0.3">
      <c r="I30" s="4" t="s">
        <v>20</v>
      </c>
      <c r="J30" s="5">
        <v>11.9</v>
      </c>
      <c r="K30" s="5">
        <v>13.6</v>
      </c>
      <c r="L30" s="5">
        <v>10.3</v>
      </c>
      <c r="M30" s="5">
        <v>16.7</v>
      </c>
      <c r="N30" s="5">
        <v>14.3</v>
      </c>
      <c r="O30" s="5">
        <v>9.4</v>
      </c>
    </row>
    <row r="32" spans="9:15" ht="15.6" x14ac:dyDescent="0.3">
      <c r="I32" s="2" t="s">
        <v>90</v>
      </c>
    </row>
    <row r="33" spans="2:15" x14ac:dyDescent="0.3">
      <c r="I33" s="3" t="s">
        <v>89</v>
      </c>
      <c r="J33" s="3" t="s">
        <v>12</v>
      </c>
      <c r="K33" s="3" t="s">
        <v>10</v>
      </c>
      <c r="L33" s="3" t="s">
        <v>15</v>
      </c>
      <c r="M33" s="3" t="s">
        <v>8</v>
      </c>
      <c r="N33" s="3" t="s">
        <v>11</v>
      </c>
      <c r="O33" s="3" t="s">
        <v>14</v>
      </c>
    </row>
    <row r="34" spans="2:15" x14ac:dyDescent="0.3">
      <c r="I34" s="4" t="s">
        <v>18</v>
      </c>
      <c r="J34" s="6">
        <v>7.5</v>
      </c>
      <c r="K34" s="6">
        <v>13.1</v>
      </c>
      <c r="L34" s="6">
        <v>16.100000000000001</v>
      </c>
      <c r="M34" s="6">
        <v>28.6</v>
      </c>
      <c r="N34" s="6">
        <v>0.6</v>
      </c>
      <c r="O34" s="6">
        <v>25.3</v>
      </c>
    </row>
    <row r="35" spans="2:15" x14ac:dyDescent="0.3">
      <c r="I35" s="4" t="s">
        <v>19</v>
      </c>
      <c r="J35" s="6">
        <v>17.100000000000001</v>
      </c>
      <c r="K35" s="6">
        <v>20.8</v>
      </c>
      <c r="L35" s="6">
        <v>12.1</v>
      </c>
      <c r="M35" s="6">
        <v>11.3</v>
      </c>
      <c r="N35" s="6">
        <v>11.3</v>
      </c>
      <c r="O35" s="6">
        <v>16.899999999999999</v>
      </c>
    </row>
    <row r="36" spans="2:15" x14ac:dyDescent="0.3">
      <c r="I36" s="4" t="s">
        <v>21</v>
      </c>
      <c r="J36" s="6">
        <v>19.2</v>
      </c>
      <c r="K36" s="6">
        <v>14.2</v>
      </c>
      <c r="L36" s="6">
        <v>15.4</v>
      </c>
      <c r="M36" s="6">
        <v>9.1</v>
      </c>
      <c r="N36" s="6">
        <v>14.5</v>
      </c>
      <c r="O36" s="6">
        <v>16.100000000000001</v>
      </c>
    </row>
    <row r="37" spans="2:15" x14ac:dyDescent="0.3">
      <c r="I37" s="4" t="s">
        <v>17</v>
      </c>
      <c r="J37" s="6">
        <v>18</v>
      </c>
      <c r="K37" s="6">
        <v>8.1999999999999993</v>
      </c>
      <c r="L37" s="6">
        <v>17.5</v>
      </c>
      <c r="M37" s="6">
        <v>8.1</v>
      </c>
      <c r="N37" s="6">
        <v>16.399999999999999</v>
      </c>
      <c r="O37" s="6">
        <v>16.399999999999999</v>
      </c>
    </row>
    <row r="38" spans="2:15" x14ac:dyDescent="0.3">
      <c r="I38" s="4" t="s">
        <v>22</v>
      </c>
      <c r="J38" s="6">
        <v>21.5</v>
      </c>
      <c r="K38" s="6">
        <v>22</v>
      </c>
      <c r="L38" s="6">
        <v>13.5</v>
      </c>
      <c r="M38" s="6">
        <v>15.8</v>
      </c>
      <c r="N38" s="6">
        <v>24</v>
      </c>
      <c r="O38" s="6">
        <v>16.8</v>
      </c>
    </row>
    <row r="39" spans="2:15" x14ac:dyDescent="0.3">
      <c r="I39" s="4" t="s">
        <v>20</v>
      </c>
      <c r="J39" s="6">
        <v>23.6</v>
      </c>
      <c r="K39" s="6">
        <v>32.1</v>
      </c>
      <c r="L39" s="6">
        <v>20.3</v>
      </c>
      <c r="M39" s="6">
        <v>0.3</v>
      </c>
      <c r="N39" s="6">
        <v>15.5</v>
      </c>
      <c r="O39" s="6">
        <v>15.8</v>
      </c>
    </row>
    <row r="42" spans="2:15" x14ac:dyDescent="0.3">
      <c r="B42" s="7"/>
    </row>
  </sheetData>
  <mergeCells count="12">
    <mergeCell ref="B1:O1"/>
    <mergeCell ref="B2:O2"/>
    <mergeCell ref="B4:C4"/>
    <mergeCell ref="B5:C5"/>
    <mergeCell ref="D4:E4"/>
    <mergeCell ref="D5:E5"/>
    <mergeCell ref="F4:G4"/>
    <mergeCell ref="F5:G5"/>
    <mergeCell ref="I4:K4"/>
    <mergeCell ref="I5:K5"/>
    <mergeCell ref="L4:O4"/>
    <mergeCell ref="L5:O5"/>
  </mergeCells>
  <conditionalFormatting sqref="J25:O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4:O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6"/>
  <sheetViews>
    <sheetView showGridLines="0" workbookViewId="0"/>
  </sheetViews>
  <sheetFormatPr defaultRowHeight="14.4" x14ac:dyDescent="0.3"/>
  <cols>
    <col min="1" max="1" width="2.6640625" customWidth="1"/>
    <col min="2" max="2" width="24.6640625" customWidth="1"/>
    <col min="3" max="10" width="13.6640625" customWidth="1"/>
  </cols>
  <sheetData>
    <row r="1" spans="2:10" ht="28.05" customHeight="1" x14ac:dyDescent="0.45">
      <c r="B1" s="18" t="s">
        <v>91</v>
      </c>
      <c r="C1" s="18"/>
      <c r="D1" s="18"/>
      <c r="E1" s="18"/>
      <c r="F1" s="18"/>
      <c r="G1" s="18"/>
      <c r="H1" s="18"/>
      <c r="I1" s="18"/>
      <c r="J1" s="18"/>
    </row>
    <row r="2" spans="2:10" x14ac:dyDescent="0.3">
      <c r="B2" s="19" t="s">
        <v>92</v>
      </c>
      <c r="C2" s="20"/>
      <c r="D2" s="20"/>
      <c r="E2" s="20"/>
      <c r="F2" s="20"/>
      <c r="G2" s="20"/>
      <c r="H2" s="20"/>
      <c r="I2" s="20"/>
      <c r="J2" s="20"/>
    </row>
    <row r="4" spans="2:10" x14ac:dyDescent="0.3">
      <c r="B4" s="8" t="s">
        <v>93</v>
      </c>
      <c r="C4" s="9" t="s">
        <v>8</v>
      </c>
    </row>
    <row r="5" spans="2:10" x14ac:dyDescent="0.3">
      <c r="B5" s="8" t="s">
        <v>94</v>
      </c>
      <c r="C5" t="str">
        <f>INDEX(q1_commodity!$B$2:$B$7,MATCH($C$4,q1_commodity!$A$2:$A$7,0))</f>
        <v>Kg</v>
      </c>
    </row>
    <row r="7" spans="2:10" x14ac:dyDescent="0.3">
      <c r="B7" s="3" t="s">
        <v>89</v>
      </c>
      <c r="C7" s="3" t="s">
        <v>25</v>
      </c>
      <c r="D7" s="3" t="s">
        <v>26</v>
      </c>
      <c r="E7" s="3" t="s">
        <v>27</v>
      </c>
      <c r="F7" s="3" t="s">
        <v>95</v>
      </c>
      <c r="G7" s="3" t="s">
        <v>96</v>
      </c>
      <c r="H7" s="3" t="s">
        <v>97</v>
      </c>
      <c r="I7" s="3" t="s">
        <v>98</v>
      </c>
      <c r="J7" s="3" t="s">
        <v>99</v>
      </c>
    </row>
    <row r="8" spans="2:10" x14ac:dyDescent="0.3">
      <c r="B8" s="4" t="s">
        <v>18</v>
      </c>
      <c r="C8" s="10">
        <f>IFERROR(AVERAGEIFS(Data!$G$2:$G$1901,Data!$D$2:$D$1901,$C$4,Data!$B$2:$B$1901,$B8,Data!$H$2:$H$1901,C$7),"")</f>
        <v>106.92999999999999</v>
      </c>
      <c r="D8" s="10">
        <f>IFERROR(AVERAGEIFS(Data!$G$2:$G$1901,Data!$D$2:$D$1901,$C$4,Data!$B$2:$B$1901,$B8,Data!$H$2:$H$1901,D$7),"")</f>
        <v>80.275294117647064</v>
      </c>
      <c r="E8" s="10">
        <f>IFERROR(AVERAGEIFS(Data!$G$2:$G$1901,Data!$D$2:$D$1901,$C$4,Data!$B$2:$B$1901,$B8,Data!$H$2:$H$1901,E$7),"")</f>
        <v>83.141999999999996</v>
      </c>
      <c r="F8" s="11">
        <f>COUNTIFS(Data!$D$2:$D$1901,$C$4,Data!$B$2:$B$1901,$B8)</f>
        <v>32</v>
      </c>
      <c r="G8" s="10">
        <f>IFERROR(AVERAGEIFS(Data!$G$2:$G$1901,Data!$D$2:$D$1901,$C$4,Data!$B$2:$B$1901,$B8),"")</f>
        <v>85.3359375</v>
      </c>
      <c r="H8" s="12">
        <f>IFERROR(100*SQRT(SUMPRODUCT((Data!$D$2:$D$1901=$C$4)*(Data!$B$2:$B$1901=$B8)*(Data!$G$2:$G$1901-G8)^2)/(F8-1))/G8,"")</f>
        <v>20.873548277459101</v>
      </c>
      <c r="I8" s="13">
        <f t="shared" ref="I8:I14" si="0">IFERROR(100*(C8/E8-1),"")</f>
        <v>28.611291525342185</v>
      </c>
      <c r="J8" s="12">
        <f>IFERROR(100*AVERAGEIFS(Data!$P$2:$P$1901,Data!$D$2:$D$1901,$C$4,Data!$B$2:$B$1901,$B8),"")</f>
        <v>25</v>
      </c>
    </row>
    <row r="9" spans="2:10" x14ac:dyDescent="0.3">
      <c r="B9" s="4" t="s">
        <v>19</v>
      </c>
      <c r="C9" s="10">
        <f>IFERROR(AVERAGEIFS(Data!$G$2:$G$1901,Data!$D$2:$D$1901,$C$4,Data!$B$2:$B$1901,$B9,Data!$H$2:$H$1901,C$7),"")</f>
        <v>90.418823529411767</v>
      </c>
      <c r="D9" s="10">
        <f>IFERROR(AVERAGEIFS(Data!$G$2:$G$1901,Data!$D$2:$D$1901,$C$4,Data!$B$2:$B$1901,$B9,Data!$H$2:$H$1901,D$7),"")</f>
        <v>89.100857142857166</v>
      </c>
      <c r="E9" s="10">
        <f>IFERROR(AVERAGEIFS(Data!$G$2:$G$1901,Data!$D$2:$D$1901,$C$4,Data!$B$2:$B$1901,$B9,Data!$H$2:$H$1901,E$7),"")</f>
        <v>81.207857142857151</v>
      </c>
      <c r="F9" s="11">
        <f>COUNTIFS(Data!$D$2:$D$1901,$C$4,Data!$B$2:$B$1901,$B9)</f>
        <v>66</v>
      </c>
      <c r="G9" s="10">
        <f>IFERROR(AVERAGEIFS(Data!$G$2:$G$1901,Data!$D$2:$D$1901,$C$4,Data!$B$2:$B$1901,$B9),"")</f>
        <v>87.766060606060591</v>
      </c>
      <c r="H9" s="12">
        <f>IFERROR(100*SQRT(SUMPRODUCT((Data!$D$2:$D$1901=$C$4)*(Data!$B$2:$B$1901=$B9)*(Data!$G$2:$G$1901-G9)^2)/(F9-1))/G9,"")</f>
        <v>16.60081403885706</v>
      </c>
      <c r="I9" s="13">
        <f t="shared" si="0"/>
        <v>11.342457134844853</v>
      </c>
      <c r="J9" s="12">
        <f>IFERROR(100*AVERAGEIFS(Data!$P$2:$P$1901,Data!$D$2:$D$1901,$C$4,Data!$B$2:$B$1901,$B9),"")</f>
        <v>22.727272727272727</v>
      </c>
    </row>
    <row r="10" spans="2:10" x14ac:dyDescent="0.3">
      <c r="B10" s="4" t="s">
        <v>21</v>
      </c>
      <c r="C10" s="10">
        <f>IFERROR(AVERAGEIFS(Data!$G$2:$G$1901,Data!$D$2:$D$1901,$C$4,Data!$B$2:$B$1901,$B10,Data!$H$2:$H$1901,C$7),"")</f>
        <v>89.756</v>
      </c>
      <c r="D10" s="10">
        <f>IFERROR(AVERAGEIFS(Data!$G$2:$G$1901,Data!$D$2:$D$1901,$C$4,Data!$B$2:$B$1901,$B10,Data!$H$2:$H$1901,D$7),"")</f>
        <v>83.858611111111117</v>
      </c>
      <c r="E10" s="10">
        <f>IFERROR(AVERAGEIFS(Data!$G$2:$G$1901,Data!$D$2:$D$1901,$C$4,Data!$B$2:$B$1901,$B10,Data!$H$2:$H$1901,E$7),"")</f>
        <v>82.261818181818171</v>
      </c>
      <c r="F10" s="11">
        <f>COUNTIFS(Data!$D$2:$D$1901,$C$4,Data!$B$2:$B$1901,$B10)</f>
        <v>78</v>
      </c>
      <c r="G10" s="10">
        <f>IFERROR(AVERAGEIFS(Data!$G$2:$G$1901,Data!$D$2:$D$1901,$C$4,Data!$B$2:$B$1901,$B10),"")</f>
        <v>84.920384615384563</v>
      </c>
      <c r="H10" s="12">
        <f>IFERROR(100*SQRT(SUMPRODUCT((Data!$D$2:$D$1901=$C$4)*(Data!$B$2:$B$1901=$B10)*(Data!$G$2:$G$1901-G10)^2)/(F10-1))/G10,"")</f>
        <v>19.052451068947413</v>
      </c>
      <c r="I10" s="13">
        <f t="shared" si="0"/>
        <v>9.1101582530280325</v>
      </c>
      <c r="J10" s="12">
        <f>IFERROR(100*AVERAGEIFS(Data!$P$2:$P$1901,Data!$D$2:$D$1901,$C$4,Data!$B$2:$B$1901,$B10),"")</f>
        <v>20.512820512820511</v>
      </c>
    </row>
    <row r="11" spans="2:10" x14ac:dyDescent="0.3">
      <c r="B11" s="4" t="s">
        <v>17</v>
      </c>
      <c r="C11" s="10">
        <f>IFERROR(AVERAGEIFS(Data!$G$2:$G$1901,Data!$D$2:$D$1901,$C$4,Data!$B$2:$B$1901,$B11,Data!$H$2:$H$1901,C$7),"")</f>
        <v>91.013333333333321</v>
      </c>
      <c r="D11" s="10">
        <f>IFERROR(AVERAGEIFS(Data!$G$2:$G$1901,Data!$D$2:$D$1901,$C$4,Data!$B$2:$B$1901,$B11,Data!$H$2:$H$1901,D$7),"")</f>
        <v>80.255263157894731</v>
      </c>
      <c r="E11" s="10">
        <f>IFERROR(AVERAGEIFS(Data!$G$2:$G$1901,Data!$D$2:$D$1901,$C$4,Data!$B$2:$B$1901,$B11,Data!$H$2:$H$1901,E$7),"")</f>
        <v>84.196153846153862</v>
      </c>
      <c r="F11" s="11">
        <f>COUNTIFS(Data!$D$2:$D$1901,$C$4,Data!$B$2:$B$1901,$B11)</f>
        <v>44</v>
      </c>
      <c r="G11" s="10">
        <f>IFERROR(AVERAGEIFS(Data!$G$2:$G$1901,Data!$D$2:$D$1901,$C$4,Data!$B$2:$B$1901,$B11),"")</f>
        <v>84.353636363636355</v>
      </c>
      <c r="H11" s="12">
        <f>IFERROR(100*SQRT(SUMPRODUCT((Data!$D$2:$D$1901=$C$4)*(Data!$B$2:$B$1901=$B11)*(Data!$G$2:$G$1901-G11)^2)/(F11-1))/G11,"")</f>
        <v>18.812834689617468</v>
      </c>
      <c r="I11" s="13">
        <f t="shared" si="0"/>
        <v>8.0967825438155394</v>
      </c>
      <c r="J11" s="12">
        <f>IFERROR(100*AVERAGEIFS(Data!$P$2:$P$1901,Data!$D$2:$D$1901,$C$4,Data!$B$2:$B$1901,$B11),"")</f>
        <v>22.727272727272727</v>
      </c>
    </row>
    <row r="12" spans="2:10" x14ac:dyDescent="0.3">
      <c r="B12" s="4" t="s">
        <v>22</v>
      </c>
      <c r="C12" s="10">
        <f>IFERROR(AVERAGEIFS(Data!$G$2:$G$1901,Data!$D$2:$D$1901,$C$4,Data!$B$2:$B$1901,$B12,Data!$H$2:$H$1901,C$7),"")</f>
        <v>93.664999999999978</v>
      </c>
      <c r="D12" s="10">
        <f>IFERROR(AVERAGEIFS(Data!$G$2:$G$1901,Data!$D$2:$D$1901,$C$4,Data!$B$2:$B$1901,$B12,Data!$H$2:$H$1901,D$7),"")</f>
        <v>84.523529411764713</v>
      </c>
      <c r="E12" s="10">
        <f>IFERROR(AVERAGEIFS(Data!$G$2:$G$1901,Data!$D$2:$D$1901,$C$4,Data!$B$2:$B$1901,$B12,Data!$H$2:$H$1901,E$7),"")</f>
        <v>80.899000000000001</v>
      </c>
      <c r="F12" s="11">
        <f>COUNTIFS(Data!$D$2:$D$1901,$C$4,Data!$B$2:$B$1901,$B12)</f>
        <v>58</v>
      </c>
      <c r="G12" s="10">
        <f>IFERROR(AVERAGEIFS(Data!$G$2:$G$1901,Data!$D$2:$D$1901,$C$4,Data!$B$2:$B$1901,$B12),"")</f>
        <v>86.105172413793113</v>
      </c>
      <c r="H12" s="12">
        <f>IFERROR(100*SQRT(SUMPRODUCT((Data!$D$2:$D$1901=$C$4)*(Data!$B$2:$B$1901=$B12)*(Data!$G$2:$G$1901-G12)^2)/(F12-1))/G12,"")</f>
        <v>17.30013766022687</v>
      </c>
      <c r="I12" s="13">
        <f t="shared" si="0"/>
        <v>15.780170335850841</v>
      </c>
      <c r="J12" s="12">
        <f>IFERROR(100*AVERAGEIFS(Data!$P$2:$P$1901,Data!$D$2:$D$1901,$C$4,Data!$B$2:$B$1901,$B12),"")</f>
        <v>22.413793103448278</v>
      </c>
    </row>
    <row r="13" spans="2:10" x14ac:dyDescent="0.3">
      <c r="B13" s="4" t="s">
        <v>20</v>
      </c>
      <c r="C13" s="10">
        <f>IFERROR(AVERAGEIFS(Data!$G$2:$G$1901,Data!$D$2:$D$1901,$C$4,Data!$B$2:$B$1901,$B13,Data!$H$2:$H$1901,C$7),"")</f>
        <v>89.744</v>
      </c>
      <c r="D13" s="10">
        <f>IFERROR(AVERAGEIFS(Data!$G$2:$G$1901,Data!$D$2:$D$1901,$C$4,Data!$B$2:$B$1901,$B13,Data!$H$2:$H$1901,D$7),"")</f>
        <v>84.215263157894739</v>
      </c>
      <c r="E13" s="10">
        <f>IFERROR(AVERAGEIFS(Data!$G$2:$G$1901,Data!$D$2:$D$1901,$C$4,Data!$B$2:$B$1901,$B13,Data!$H$2:$H$1901,E$7),"")</f>
        <v>89.464999999999989</v>
      </c>
      <c r="F13" s="11">
        <f>COUNTIFS(Data!$D$2:$D$1901,$C$4,Data!$B$2:$B$1901,$B13)</f>
        <v>33</v>
      </c>
      <c r="G13" s="10">
        <f>IFERROR(AVERAGEIFS(Data!$G$2:$G$1901,Data!$D$2:$D$1901,$C$4,Data!$B$2:$B$1901,$B13),"")</f>
        <v>86.526969696969687</v>
      </c>
      <c r="H13" s="12">
        <f>IFERROR(100*SQRT(SUMPRODUCT((Data!$D$2:$D$1901=$C$4)*(Data!$B$2:$B$1901=$B13)*(Data!$G$2:$G$1901-G13)^2)/(F13-1))/G13,"")</f>
        <v>16.703855150523001</v>
      </c>
      <c r="I13" s="13">
        <f t="shared" si="0"/>
        <v>0.31185379757447951</v>
      </c>
      <c r="J13" s="12">
        <f>IFERROR(100*AVERAGEIFS(Data!$P$2:$P$1901,Data!$D$2:$D$1901,$C$4,Data!$B$2:$B$1901,$B13),"")</f>
        <v>27.27272727272727</v>
      </c>
    </row>
    <row r="14" spans="2:10" x14ac:dyDescent="0.3">
      <c r="B14" s="14" t="s">
        <v>100</v>
      </c>
      <c r="C14" s="10">
        <f>IFERROR(AVERAGEIFS(Data!$G$2:$G$1901,Data!$D$2:$D$1901,$C$4,Data!$H$2:$H$1901,C$7),"")</f>
        <v>91.894871794871776</v>
      </c>
      <c r="D14" s="10">
        <f>IFERROR(AVERAGEIFS(Data!$G$2:$G$1901,Data!$D$2:$D$1901,$C$4,Data!$H$2:$H$1901,D$7),"")</f>
        <v>84.380374999999987</v>
      </c>
      <c r="E14" s="10">
        <f>IFERROR(AVERAGEIFS(Data!$G$2:$G$1901,Data!$D$2:$D$1901,$C$4,Data!$H$2:$H$1901,E$7),"")</f>
        <v>82.73273972602739</v>
      </c>
      <c r="F14" s="11">
        <f>COUNTIFS(Data!$D$2:$D$1901,$C$4)</f>
        <v>311</v>
      </c>
      <c r="G14" s="10">
        <f>IFERROR(AVERAGEIFS(Data!$G$2:$G$1901,Data!$D$2:$D$1901,$C$4),"")</f>
        <v>85.878295819935758</v>
      </c>
      <c r="H14" s="12">
        <f>IFERROR(100*SQRT(SUMPRODUCT((Data!$D$2:$D$1901=$C$4)*(Data!$G$2:$G$1901-G14)^2)/(F14-1))/G14,"")</f>
        <v>18.037969698002719</v>
      </c>
      <c r="I14" s="13">
        <f t="shared" si="0"/>
        <v>11.074372853099179</v>
      </c>
      <c r="J14" s="12">
        <f>IFERROR(100*AVERAGEIFS(Data!$P$2:$P$1901,Data!$D$2:$D$1901,$C$4),"")</f>
        <v>22.829581993569132</v>
      </c>
    </row>
    <row r="16" spans="2:10" x14ac:dyDescent="0.3">
      <c r="B16" s="1" t="str">
        <f>"Average "&amp;$C$4&amp;" price per "&amp;$C$5&amp;" by market and stock level"</f>
        <v>Average Onion price per Kg by market and stock level</v>
      </c>
    </row>
  </sheetData>
  <mergeCells count="2">
    <mergeCell ref="B1:J1"/>
    <mergeCell ref="B2:J2"/>
  </mergeCells>
  <conditionalFormatting sqref="C8:E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H13">
    <cfRule type="dataBar" priority="2">
      <dataBar>
        <cfvo type="min"/>
        <cfvo type="max"/>
        <color rgb="FF2E86AB"/>
      </dataBar>
    </cfRule>
  </conditionalFormatting>
  <conditionalFormatting sqref="J8:J13">
    <cfRule type="dataBar" priority="3">
      <dataBar>
        <cfvo type="min"/>
        <cfvo type="max"/>
        <color rgb="FFC0392B"/>
      </dataBar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q1_commodity!$A$2:$A$7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customWidth="1"/>
    <col min="2" max="2" width="7.6640625" customWidth="1"/>
    <col min="3" max="3" width="15.6640625" customWidth="1"/>
    <col min="4" max="6" width="12.6640625" customWidth="1"/>
    <col min="7" max="7" width="10.6640625" customWidth="1"/>
    <col min="8" max="8" width="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311</v>
      </c>
      <c r="D2" s="15">
        <v>85.88</v>
      </c>
      <c r="E2" s="15">
        <v>45.09</v>
      </c>
      <c r="F2" s="15">
        <v>120</v>
      </c>
      <c r="G2" s="15">
        <v>15.49</v>
      </c>
      <c r="H2" s="16">
        <v>18</v>
      </c>
    </row>
    <row r="3" spans="1:8" x14ac:dyDescent="0.3">
      <c r="A3" t="s">
        <v>10</v>
      </c>
      <c r="B3" t="s">
        <v>9</v>
      </c>
      <c r="C3">
        <v>264</v>
      </c>
      <c r="D3" s="15">
        <v>157.53</v>
      </c>
      <c r="E3" s="15">
        <v>100</v>
      </c>
      <c r="F3" s="15">
        <v>200</v>
      </c>
      <c r="G3" s="15">
        <v>21.11</v>
      </c>
      <c r="H3" s="16">
        <v>13.4</v>
      </c>
    </row>
    <row r="4" spans="1:8" x14ac:dyDescent="0.3">
      <c r="A4" t="s">
        <v>11</v>
      </c>
      <c r="B4" t="s">
        <v>9</v>
      </c>
      <c r="C4">
        <v>322</v>
      </c>
      <c r="D4" s="15">
        <v>31.35</v>
      </c>
      <c r="E4" s="15">
        <v>20</v>
      </c>
      <c r="F4" s="15">
        <v>40</v>
      </c>
      <c r="G4" s="15">
        <v>4.21</v>
      </c>
      <c r="H4" s="16">
        <v>13.4</v>
      </c>
    </row>
    <row r="5" spans="1:8" x14ac:dyDescent="0.3">
      <c r="A5" t="s">
        <v>12</v>
      </c>
      <c r="B5" t="s">
        <v>13</v>
      </c>
      <c r="C5">
        <v>279</v>
      </c>
      <c r="D5" s="15">
        <v>170.63</v>
      </c>
      <c r="E5" s="15">
        <v>123.95</v>
      </c>
      <c r="F5" s="15">
        <v>200</v>
      </c>
      <c r="G5" s="15">
        <v>18.71</v>
      </c>
      <c r="H5" s="16">
        <v>11</v>
      </c>
    </row>
    <row r="6" spans="1:8" x14ac:dyDescent="0.3">
      <c r="A6" t="s">
        <v>14</v>
      </c>
      <c r="B6" t="s">
        <v>9</v>
      </c>
      <c r="C6">
        <v>412</v>
      </c>
      <c r="D6" s="15">
        <v>67.97</v>
      </c>
      <c r="E6" s="15">
        <v>50</v>
      </c>
      <c r="F6" s="15">
        <v>80</v>
      </c>
      <c r="G6" s="15">
        <v>7.32</v>
      </c>
      <c r="H6" s="16">
        <v>10.8</v>
      </c>
    </row>
    <row r="7" spans="1:8" x14ac:dyDescent="0.3">
      <c r="A7" t="s">
        <v>15</v>
      </c>
      <c r="B7" t="s">
        <v>9</v>
      </c>
      <c r="C7">
        <v>312</v>
      </c>
      <c r="D7" s="15">
        <v>121.93</v>
      </c>
      <c r="E7" s="15">
        <v>91.21</v>
      </c>
      <c r="F7" s="15">
        <v>140</v>
      </c>
      <c r="G7" s="15">
        <v>12.3</v>
      </c>
      <c r="H7" s="16">
        <v>10.1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customWidth="1"/>
    <col min="2" max="2" width="23.6640625" customWidth="1"/>
    <col min="3" max="3" width="15.6640625" customWidth="1"/>
    <col min="4" max="4" width="12.6640625" customWidth="1"/>
    <col min="5" max="5" width="10.6640625" customWidth="1"/>
    <col min="6" max="6" width="9.6640625" customWidth="1"/>
  </cols>
  <sheetData>
    <row r="1" spans="1:6" x14ac:dyDescent="0.3">
      <c r="A1" t="s">
        <v>0</v>
      </c>
      <c r="B1" t="s">
        <v>16</v>
      </c>
      <c r="C1" t="s">
        <v>2</v>
      </c>
      <c r="D1" t="s">
        <v>3</v>
      </c>
      <c r="E1" t="s">
        <v>6</v>
      </c>
      <c r="F1" t="s">
        <v>7</v>
      </c>
    </row>
    <row r="2" spans="1:6" x14ac:dyDescent="0.3">
      <c r="A2" t="s">
        <v>12</v>
      </c>
      <c r="B2" t="s">
        <v>17</v>
      </c>
      <c r="C2">
        <v>36</v>
      </c>
      <c r="D2" s="15">
        <v>174</v>
      </c>
      <c r="E2" s="15">
        <v>17.2</v>
      </c>
      <c r="F2" s="16">
        <v>9.9</v>
      </c>
    </row>
    <row r="3" spans="1:6" x14ac:dyDescent="0.3">
      <c r="A3" t="s">
        <v>12</v>
      </c>
      <c r="B3" t="s">
        <v>18</v>
      </c>
      <c r="C3">
        <v>22</v>
      </c>
      <c r="D3" s="15">
        <v>173.01</v>
      </c>
      <c r="E3" s="15">
        <v>12.9</v>
      </c>
      <c r="F3" s="16">
        <v>7.5</v>
      </c>
    </row>
    <row r="4" spans="1:6" x14ac:dyDescent="0.3">
      <c r="A4" t="s">
        <v>12</v>
      </c>
      <c r="B4" t="s">
        <v>19</v>
      </c>
      <c r="C4">
        <v>56</v>
      </c>
      <c r="D4" s="15">
        <v>172.19</v>
      </c>
      <c r="E4" s="15">
        <v>21.06</v>
      </c>
      <c r="F4" s="16">
        <v>12.2</v>
      </c>
    </row>
    <row r="5" spans="1:6" x14ac:dyDescent="0.3">
      <c r="A5" t="s">
        <v>12</v>
      </c>
      <c r="B5" t="s">
        <v>20</v>
      </c>
      <c r="C5">
        <v>40</v>
      </c>
      <c r="D5" s="15">
        <v>171.19</v>
      </c>
      <c r="E5" s="15">
        <v>20.41</v>
      </c>
      <c r="F5" s="16">
        <v>11.9</v>
      </c>
    </row>
    <row r="6" spans="1:6" x14ac:dyDescent="0.3">
      <c r="A6" t="s">
        <v>12</v>
      </c>
      <c r="B6" t="s">
        <v>21</v>
      </c>
      <c r="C6">
        <v>72</v>
      </c>
      <c r="D6" s="15">
        <v>169.52</v>
      </c>
      <c r="E6" s="15">
        <v>18.77</v>
      </c>
      <c r="F6" s="16">
        <v>11.1</v>
      </c>
    </row>
    <row r="7" spans="1:6" x14ac:dyDescent="0.3">
      <c r="A7" t="s">
        <v>12</v>
      </c>
      <c r="B7" t="s">
        <v>22</v>
      </c>
      <c r="C7">
        <v>53</v>
      </c>
      <c r="D7" s="15">
        <v>166.79</v>
      </c>
      <c r="E7" s="15">
        <v>17.670000000000002</v>
      </c>
      <c r="F7" s="16">
        <v>10.6</v>
      </c>
    </row>
    <row r="8" spans="1:6" x14ac:dyDescent="0.3">
      <c r="A8" t="s">
        <v>10</v>
      </c>
      <c r="B8" t="s">
        <v>22</v>
      </c>
      <c r="C8">
        <v>37</v>
      </c>
      <c r="D8" s="15">
        <v>162.62</v>
      </c>
      <c r="E8" s="15">
        <v>24.24</v>
      </c>
      <c r="F8" s="16">
        <v>14.9</v>
      </c>
    </row>
    <row r="9" spans="1:6" x14ac:dyDescent="0.3">
      <c r="A9" t="s">
        <v>10</v>
      </c>
      <c r="B9" t="s">
        <v>18</v>
      </c>
      <c r="C9">
        <v>27</v>
      </c>
      <c r="D9" s="15">
        <v>160.79</v>
      </c>
      <c r="E9" s="15">
        <v>18.260000000000002</v>
      </c>
      <c r="F9" s="16">
        <v>11.4</v>
      </c>
    </row>
    <row r="10" spans="1:6" x14ac:dyDescent="0.3">
      <c r="A10" t="s">
        <v>10</v>
      </c>
      <c r="B10" t="s">
        <v>17</v>
      </c>
      <c r="C10">
        <v>45</v>
      </c>
      <c r="D10" s="15">
        <v>156.88</v>
      </c>
      <c r="E10" s="15">
        <v>19.18</v>
      </c>
      <c r="F10" s="16">
        <v>12.2</v>
      </c>
    </row>
    <row r="11" spans="1:6" x14ac:dyDescent="0.3">
      <c r="A11" t="s">
        <v>10</v>
      </c>
      <c r="B11" t="s">
        <v>21</v>
      </c>
      <c r="C11">
        <v>76</v>
      </c>
      <c r="D11" s="15">
        <v>156.44999999999999</v>
      </c>
      <c r="E11" s="15">
        <v>22.43</v>
      </c>
      <c r="F11" s="16">
        <v>14.3</v>
      </c>
    </row>
    <row r="12" spans="1:6" x14ac:dyDescent="0.3">
      <c r="A12" t="s">
        <v>10</v>
      </c>
      <c r="B12" t="s">
        <v>19</v>
      </c>
      <c r="C12">
        <v>51</v>
      </c>
      <c r="D12" s="15">
        <v>155.94</v>
      </c>
      <c r="E12" s="15">
        <v>19.850000000000001</v>
      </c>
      <c r="F12" s="16">
        <v>12.7</v>
      </c>
    </row>
    <row r="13" spans="1:6" x14ac:dyDescent="0.3">
      <c r="A13" t="s">
        <v>10</v>
      </c>
      <c r="B13" t="s">
        <v>20</v>
      </c>
      <c r="C13">
        <v>28</v>
      </c>
      <c r="D13" s="15">
        <v>154.54</v>
      </c>
      <c r="E13" s="15">
        <v>21.08</v>
      </c>
      <c r="F13" s="16">
        <v>13.6</v>
      </c>
    </row>
    <row r="14" spans="1:6" x14ac:dyDescent="0.3">
      <c r="A14" t="s">
        <v>15</v>
      </c>
      <c r="B14" t="s">
        <v>19</v>
      </c>
      <c r="C14">
        <v>67</v>
      </c>
      <c r="D14" s="15">
        <v>124.45</v>
      </c>
      <c r="E14" s="15">
        <v>11.73</v>
      </c>
      <c r="F14" s="16">
        <v>9.4</v>
      </c>
    </row>
    <row r="15" spans="1:6" x14ac:dyDescent="0.3">
      <c r="A15" t="s">
        <v>15</v>
      </c>
      <c r="B15" t="s">
        <v>20</v>
      </c>
      <c r="C15">
        <v>35</v>
      </c>
      <c r="D15" s="15">
        <v>123.48</v>
      </c>
      <c r="E15" s="15">
        <v>12.67</v>
      </c>
      <c r="F15" s="16">
        <v>10.3</v>
      </c>
    </row>
    <row r="16" spans="1:6" x14ac:dyDescent="0.3">
      <c r="A16" t="s">
        <v>15</v>
      </c>
      <c r="B16" t="s">
        <v>22</v>
      </c>
      <c r="C16">
        <v>53</v>
      </c>
      <c r="D16" s="15">
        <v>123.05</v>
      </c>
      <c r="E16" s="15">
        <v>12.22</v>
      </c>
      <c r="F16" s="16">
        <v>9.9</v>
      </c>
    </row>
    <row r="17" spans="1:6" x14ac:dyDescent="0.3">
      <c r="A17" t="s">
        <v>15</v>
      </c>
      <c r="B17" t="s">
        <v>18</v>
      </c>
      <c r="C17">
        <v>29</v>
      </c>
      <c r="D17" s="15">
        <v>120.29</v>
      </c>
      <c r="E17" s="15">
        <v>13.18</v>
      </c>
      <c r="F17" s="16">
        <v>11</v>
      </c>
    </row>
    <row r="18" spans="1:6" x14ac:dyDescent="0.3">
      <c r="A18" t="s">
        <v>15</v>
      </c>
      <c r="B18" t="s">
        <v>21</v>
      </c>
      <c r="C18">
        <v>74</v>
      </c>
      <c r="D18" s="15">
        <v>120.28</v>
      </c>
      <c r="E18" s="15">
        <v>11.74</v>
      </c>
      <c r="F18" s="16">
        <v>9.8000000000000007</v>
      </c>
    </row>
    <row r="19" spans="1:6" x14ac:dyDescent="0.3">
      <c r="A19" t="s">
        <v>15</v>
      </c>
      <c r="B19" t="s">
        <v>17</v>
      </c>
      <c r="C19">
        <v>54</v>
      </c>
      <c r="D19" s="15">
        <v>119.85</v>
      </c>
      <c r="E19" s="15">
        <v>12.86</v>
      </c>
      <c r="F19" s="16">
        <v>10.7</v>
      </c>
    </row>
    <row r="20" spans="1:6" x14ac:dyDescent="0.3">
      <c r="A20" t="s">
        <v>8</v>
      </c>
      <c r="B20" t="s">
        <v>19</v>
      </c>
      <c r="C20">
        <v>66</v>
      </c>
      <c r="D20" s="15">
        <v>87.77</v>
      </c>
      <c r="E20" s="15">
        <v>14.57</v>
      </c>
      <c r="F20" s="16">
        <v>16.600000000000001</v>
      </c>
    </row>
    <row r="21" spans="1:6" x14ac:dyDescent="0.3">
      <c r="A21" t="s">
        <v>8</v>
      </c>
      <c r="B21" t="s">
        <v>20</v>
      </c>
      <c r="C21">
        <v>33</v>
      </c>
      <c r="D21" s="15">
        <v>86.53</v>
      </c>
      <c r="E21" s="15">
        <v>14.45</v>
      </c>
      <c r="F21" s="16">
        <v>16.7</v>
      </c>
    </row>
    <row r="22" spans="1:6" x14ac:dyDescent="0.3">
      <c r="A22" t="s">
        <v>8</v>
      </c>
      <c r="B22" t="s">
        <v>22</v>
      </c>
      <c r="C22">
        <v>58</v>
      </c>
      <c r="D22" s="15">
        <v>86.11</v>
      </c>
      <c r="E22" s="15">
        <v>14.9</v>
      </c>
      <c r="F22" s="16">
        <v>17.3</v>
      </c>
    </row>
    <row r="23" spans="1:6" x14ac:dyDescent="0.3">
      <c r="A23" t="s">
        <v>8</v>
      </c>
      <c r="B23" t="s">
        <v>18</v>
      </c>
      <c r="C23">
        <v>32</v>
      </c>
      <c r="D23" s="15">
        <v>85.34</v>
      </c>
      <c r="E23" s="15">
        <v>17.809999999999999</v>
      </c>
      <c r="F23" s="16">
        <v>20.9</v>
      </c>
    </row>
    <row r="24" spans="1:6" x14ac:dyDescent="0.3">
      <c r="A24" t="s">
        <v>8</v>
      </c>
      <c r="B24" t="s">
        <v>21</v>
      </c>
      <c r="C24">
        <v>78</v>
      </c>
      <c r="D24" s="15">
        <v>84.92</v>
      </c>
      <c r="E24" s="15">
        <v>16.18</v>
      </c>
      <c r="F24" s="16">
        <v>19.100000000000001</v>
      </c>
    </row>
    <row r="25" spans="1:6" x14ac:dyDescent="0.3">
      <c r="A25" t="s">
        <v>8</v>
      </c>
      <c r="B25" t="s">
        <v>17</v>
      </c>
      <c r="C25">
        <v>44</v>
      </c>
      <c r="D25" s="15">
        <v>84.35</v>
      </c>
      <c r="E25" s="15">
        <v>15.87</v>
      </c>
      <c r="F25" s="16">
        <v>18.8</v>
      </c>
    </row>
    <row r="26" spans="1:6" x14ac:dyDescent="0.3">
      <c r="A26" t="s">
        <v>11</v>
      </c>
      <c r="B26" t="s">
        <v>17</v>
      </c>
      <c r="C26">
        <v>47</v>
      </c>
      <c r="D26" s="15">
        <v>31.88</v>
      </c>
      <c r="E26" s="15">
        <v>4.34</v>
      </c>
      <c r="F26" s="16">
        <v>13.6</v>
      </c>
    </row>
    <row r="27" spans="1:6" x14ac:dyDescent="0.3">
      <c r="A27" t="s">
        <v>11</v>
      </c>
      <c r="B27" t="s">
        <v>18</v>
      </c>
      <c r="C27">
        <v>29</v>
      </c>
      <c r="D27" s="15">
        <v>31.74</v>
      </c>
      <c r="E27" s="15">
        <v>4.49</v>
      </c>
      <c r="F27" s="16">
        <v>14.1</v>
      </c>
    </row>
    <row r="28" spans="1:6" x14ac:dyDescent="0.3">
      <c r="A28" t="s">
        <v>11</v>
      </c>
      <c r="B28" t="s">
        <v>21</v>
      </c>
      <c r="C28">
        <v>87</v>
      </c>
      <c r="D28" s="15">
        <v>31.46</v>
      </c>
      <c r="E28" s="15">
        <v>4.07</v>
      </c>
      <c r="F28" s="16">
        <v>12.9</v>
      </c>
    </row>
    <row r="29" spans="1:6" x14ac:dyDescent="0.3">
      <c r="A29" t="s">
        <v>11</v>
      </c>
      <c r="B29" t="s">
        <v>19</v>
      </c>
      <c r="C29">
        <v>68</v>
      </c>
      <c r="D29" s="15">
        <v>31.23</v>
      </c>
      <c r="E29" s="15">
        <v>4.17</v>
      </c>
      <c r="F29" s="16">
        <v>13.4</v>
      </c>
    </row>
    <row r="30" spans="1:6" x14ac:dyDescent="0.3">
      <c r="A30" t="s">
        <v>11</v>
      </c>
      <c r="B30" t="s">
        <v>22</v>
      </c>
      <c r="C30">
        <v>56</v>
      </c>
      <c r="D30" s="15">
        <v>31.18</v>
      </c>
      <c r="E30" s="15">
        <v>4.21</v>
      </c>
      <c r="F30" s="16">
        <v>13.5</v>
      </c>
    </row>
    <row r="31" spans="1:6" x14ac:dyDescent="0.3">
      <c r="A31" t="s">
        <v>11</v>
      </c>
      <c r="B31" t="s">
        <v>20</v>
      </c>
      <c r="C31">
        <v>35</v>
      </c>
      <c r="D31" s="15">
        <v>30.5</v>
      </c>
      <c r="E31" s="15">
        <v>4.3499999999999996</v>
      </c>
      <c r="F31" s="16">
        <v>14.3</v>
      </c>
    </row>
    <row r="32" spans="1:6" x14ac:dyDescent="0.3">
      <c r="A32" t="s">
        <v>14</v>
      </c>
      <c r="B32" t="s">
        <v>21</v>
      </c>
      <c r="C32">
        <v>107</v>
      </c>
      <c r="D32" s="15">
        <v>68.41</v>
      </c>
      <c r="E32" s="15">
        <v>8.08</v>
      </c>
      <c r="F32" s="16">
        <v>11.8</v>
      </c>
    </row>
    <row r="33" spans="1:6" x14ac:dyDescent="0.3">
      <c r="A33" t="s">
        <v>14</v>
      </c>
      <c r="B33" t="s">
        <v>17</v>
      </c>
      <c r="C33">
        <v>64</v>
      </c>
      <c r="D33" s="15">
        <v>68.349999999999994</v>
      </c>
      <c r="E33" s="15">
        <v>7.21</v>
      </c>
      <c r="F33" s="16">
        <v>10.5</v>
      </c>
    </row>
    <row r="34" spans="1:6" x14ac:dyDescent="0.3">
      <c r="A34" t="s">
        <v>14</v>
      </c>
      <c r="B34" t="s">
        <v>19</v>
      </c>
      <c r="C34">
        <v>91</v>
      </c>
      <c r="D34" s="15">
        <v>68.13</v>
      </c>
      <c r="E34" s="15">
        <v>7.23</v>
      </c>
      <c r="F34" s="16">
        <v>10.6</v>
      </c>
    </row>
    <row r="35" spans="1:6" x14ac:dyDescent="0.3">
      <c r="A35" t="s">
        <v>14</v>
      </c>
      <c r="B35" t="s">
        <v>20</v>
      </c>
      <c r="C35">
        <v>48</v>
      </c>
      <c r="D35" s="15">
        <v>68.09</v>
      </c>
      <c r="E35" s="15">
        <v>6.4</v>
      </c>
      <c r="F35" s="16">
        <v>9.4</v>
      </c>
    </row>
    <row r="36" spans="1:6" x14ac:dyDescent="0.3">
      <c r="A36" t="s">
        <v>14</v>
      </c>
      <c r="B36" t="s">
        <v>18</v>
      </c>
      <c r="C36">
        <v>38</v>
      </c>
      <c r="D36" s="15">
        <v>67.31</v>
      </c>
      <c r="E36" s="15">
        <v>7.39</v>
      </c>
      <c r="F36" s="16">
        <v>11</v>
      </c>
    </row>
    <row r="37" spans="1:6" x14ac:dyDescent="0.3">
      <c r="A37" t="s">
        <v>14</v>
      </c>
      <c r="B37" t="s">
        <v>22</v>
      </c>
      <c r="C37">
        <v>64</v>
      </c>
      <c r="D37" s="15">
        <v>66.930000000000007</v>
      </c>
      <c r="E37" s="15">
        <v>6.98</v>
      </c>
      <c r="F37" s="16">
        <v>10.4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customWidth="1"/>
    <col min="2" max="3" width="14.6640625" customWidth="1"/>
    <col min="4" max="4" width="15.6640625" customWidth="1"/>
    <col min="5" max="7" width="12.6640625" customWidth="1"/>
    <col min="8" max="8" width="10.6640625" customWidth="1"/>
  </cols>
  <sheetData>
    <row r="1" spans="1:8" x14ac:dyDescent="0.3">
      <c r="A1" t="s">
        <v>0</v>
      </c>
      <c r="B1" t="s">
        <v>23</v>
      </c>
      <c r="C1" t="s">
        <v>24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12</v>
      </c>
      <c r="B2" t="s">
        <v>25</v>
      </c>
      <c r="C2">
        <v>1</v>
      </c>
      <c r="D2">
        <v>64</v>
      </c>
      <c r="E2" s="15">
        <v>187.3</v>
      </c>
      <c r="F2" s="15">
        <v>144</v>
      </c>
      <c r="G2" s="15">
        <v>200</v>
      </c>
      <c r="H2" s="15">
        <v>14.02</v>
      </c>
    </row>
    <row r="3" spans="1:8" x14ac:dyDescent="0.3">
      <c r="A3" t="s">
        <v>12</v>
      </c>
      <c r="B3" t="s">
        <v>26</v>
      </c>
      <c r="C3">
        <v>2</v>
      </c>
      <c r="D3">
        <v>148</v>
      </c>
      <c r="E3" s="15">
        <v>169.01</v>
      </c>
      <c r="F3" s="15">
        <v>130.4</v>
      </c>
      <c r="G3" s="15">
        <v>200</v>
      </c>
      <c r="H3" s="15">
        <v>16.23</v>
      </c>
    </row>
    <row r="4" spans="1:8" x14ac:dyDescent="0.3">
      <c r="A4" t="s">
        <v>12</v>
      </c>
      <c r="B4" t="s">
        <v>27</v>
      </c>
      <c r="C4">
        <v>3</v>
      </c>
      <c r="D4">
        <v>67</v>
      </c>
      <c r="E4" s="15">
        <v>158.28</v>
      </c>
      <c r="F4" s="15">
        <v>123.95</v>
      </c>
      <c r="G4" s="15">
        <v>192.86</v>
      </c>
      <c r="H4" s="15">
        <v>16.43</v>
      </c>
    </row>
    <row r="5" spans="1:8" x14ac:dyDescent="0.3">
      <c r="A5" t="s">
        <v>10</v>
      </c>
      <c r="B5" t="s">
        <v>25</v>
      </c>
      <c r="C5">
        <v>1</v>
      </c>
      <c r="D5">
        <v>46</v>
      </c>
      <c r="E5" s="15">
        <v>172.6</v>
      </c>
      <c r="F5" s="15">
        <v>137.28</v>
      </c>
      <c r="G5" s="15">
        <v>200</v>
      </c>
      <c r="H5" s="15">
        <v>18.84</v>
      </c>
    </row>
    <row r="6" spans="1:8" x14ac:dyDescent="0.3">
      <c r="A6" t="s">
        <v>10</v>
      </c>
      <c r="B6" t="s">
        <v>26</v>
      </c>
      <c r="C6">
        <v>2</v>
      </c>
      <c r="D6">
        <v>159</v>
      </c>
      <c r="E6" s="15">
        <v>156.56</v>
      </c>
      <c r="F6" s="15">
        <v>100</v>
      </c>
      <c r="G6" s="15">
        <v>200</v>
      </c>
      <c r="H6" s="15">
        <v>20.2</v>
      </c>
    </row>
    <row r="7" spans="1:8" x14ac:dyDescent="0.3">
      <c r="A7" t="s">
        <v>10</v>
      </c>
      <c r="B7" t="s">
        <v>27</v>
      </c>
      <c r="C7">
        <v>3</v>
      </c>
      <c r="D7">
        <v>59</v>
      </c>
      <c r="E7" s="15">
        <v>148.4</v>
      </c>
      <c r="F7" s="15">
        <v>112.67</v>
      </c>
      <c r="G7" s="15">
        <v>197.63</v>
      </c>
      <c r="H7" s="15">
        <v>19.13</v>
      </c>
    </row>
    <row r="8" spans="1:8" x14ac:dyDescent="0.3">
      <c r="A8" t="s">
        <v>15</v>
      </c>
      <c r="B8" t="s">
        <v>25</v>
      </c>
      <c r="C8">
        <v>1</v>
      </c>
      <c r="D8">
        <v>67</v>
      </c>
      <c r="E8" s="15">
        <v>132.16</v>
      </c>
      <c r="F8" s="15">
        <v>112.81</v>
      </c>
      <c r="G8" s="15">
        <v>140</v>
      </c>
      <c r="H8" s="15">
        <v>8.0299999999999994</v>
      </c>
    </row>
    <row r="9" spans="1:8" x14ac:dyDescent="0.3">
      <c r="A9" t="s">
        <v>15</v>
      </c>
      <c r="B9" t="s">
        <v>26</v>
      </c>
      <c r="C9">
        <v>2</v>
      </c>
      <c r="D9">
        <v>178</v>
      </c>
      <c r="E9" s="15">
        <v>120.93</v>
      </c>
      <c r="F9" s="15">
        <v>94.61</v>
      </c>
      <c r="G9" s="15">
        <v>140</v>
      </c>
      <c r="H9" s="15">
        <v>11.58</v>
      </c>
    </row>
    <row r="10" spans="1:8" x14ac:dyDescent="0.3">
      <c r="A10" t="s">
        <v>15</v>
      </c>
      <c r="B10" t="s">
        <v>27</v>
      </c>
      <c r="C10">
        <v>3</v>
      </c>
      <c r="D10">
        <v>67</v>
      </c>
      <c r="E10" s="15">
        <v>114.37</v>
      </c>
      <c r="F10" s="15">
        <v>91.21</v>
      </c>
      <c r="G10" s="15">
        <v>139.68</v>
      </c>
      <c r="H10" s="15">
        <v>11.07</v>
      </c>
    </row>
    <row r="11" spans="1:8" x14ac:dyDescent="0.3">
      <c r="A11" t="s">
        <v>8</v>
      </c>
      <c r="B11" t="s">
        <v>25</v>
      </c>
      <c r="C11">
        <v>1</v>
      </c>
      <c r="D11">
        <v>78</v>
      </c>
      <c r="E11" s="15">
        <v>91.89</v>
      </c>
      <c r="F11" s="15">
        <v>46.18</v>
      </c>
      <c r="G11" s="15">
        <v>120</v>
      </c>
      <c r="H11" s="15">
        <v>15.99</v>
      </c>
    </row>
    <row r="12" spans="1:8" x14ac:dyDescent="0.3">
      <c r="A12" t="s">
        <v>8</v>
      </c>
      <c r="B12" t="s">
        <v>26</v>
      </c>
      <c r="C12">
        <v>2</v>
      </c>
      <c r="D12">
        <v>160</v>
      </c>
      <c r="E12" s="15">
        <v>84.38</v>
      </c>
      <c r="F12" s="15">
        <v>51.76</v>
      </c>
      <c r="G12" s="15">
        <v>120</v>
      </c>
      <c r="H12" s="15">
        <v>14.89</v>
      </c>
    </row>
    <row r="13" spans="1:8" x14ac:dyDescent="0.3">
      <c r="A13" t="s">
        <v>8</v>
      </c>
      <c r="B13" t="s">
        <v>27</v>
      </c>
      <c r="C13">
        <v>3</v>
      </c>
      <c r="D13">
        <v>73</v>
      </c>
      <c r="E13" s="15">
        <v>82.73</v>
      </c>
      <c r="F13" s="15">
        <v>45.09</v>
      </c>
      <c r="G13" s="15">
        <v>115.71</v>
      </c>
      <c r="H13" s="15">
        <v>14.69</v>
      </c>
    </row>
    <row r="14" spans="1:8" x14ac:dyDescent="0.3">
      <c r="A14" t="s">
        <v>11</v>
      </c>
      <c r="B14" t="s">
        <v>25</v>
      </c>
      <c r="C14">
        <v>1</v>
      </c>
      <c r="D14">
        <v>61</v>
      </c>
      <c r="E14" s="15">
        <v>34.24</v>
      </c>
      <c r="F14" s="15">
        <v>24.08</v>
      </c>
      <c r="G14" s="15">
        <v>40</v>
      </c>
      <c r="H14" s="15">
        <v>3.89</v>
      </c>
    </row>
    <row r="15" spans="1:8" x14ac:dyDescent="0.3">
      <c r="A15" t="s">
        <v>11</v>
      </c>
      <c r="B15" t="s">
        <v>26</v>
      </c>
      <c r="C15">
        <v>2</v>
      </c>
      <c r="D15">
        <v>169</v>
      </c>
      <c r="E15" s="15">
        <v>31.14</v>
      </c>
      <c r="F15" s="15">
        <v>20.92</v>
      </c>
      <c r="G15" s="15">
        <v>40</v>
      </c>
      <c r="H15" s="15">
        <v>3.94</v>
      </c>
    </row>
    <row r="16" spans="1:8" x14ac:dyDescent="0.3">
      <c r="A16" t="s">
        <v>11</v>
      </c>
      <c r="B16" t="s">
        <v>27</v>
      </c>
      <c r="C16">
        <v>3</v>
      </c>
      <c r="D16">
        <v>92</v>
      </c>
      <c r="E16" s="15">
        <v>29.8</v>
      </c>
      <c r="F16" s="15">
        <v>20</v>
      </c>
      <c r="G16" s="15">
        <v>40</v>
      </c>
      <c r="H16" s="15">
        <v>3.98</v>
      </c>
    </row>
    <row r="17" spans="1:8" x14ac:dyDescent="0.3">
      <c r="A17" t="s">
        <v>14</v>
      </c>
      <c r="B17" t="s">
        <v>25</v>
      </c>
      <c r="C17">
        <v>1</v>
      </c>
      <c r="D17">
        <v>92</v>
      </c>
      <c r="E17" s="15">
        <v>73.95</v>
      </c>
      <c r="F17" s="15">
        <v>54.56</v>
      </c>
      <c r="G17" s="15">
        <v>80</v>
      </c>
      <c r="H17" s="15">
        <v>5.97</v>
      </c>
    </row>
    <row r="18" spans="1:8" x14ac:dyDescent="0.3">
      <c r="A18" t="s">
        <v>14</v>
      </c>
      <c r="B18" t="s">
        <v>26</v>
      </c>
      <c r="C18">
        <v>2</v>
      </c>
      <c r="D18">
        <v>236</v>
      </c>
      <c r="E18" s="15">
        <v>67.38</v>
      </c>
      <c r="F18" s="15">
        <v>50</v>
      </c>
      <c r="G18" s="15">
        <v>80</v>
      </c>
      <c r="H18" s="15">
        <v>6.65</v>
      </c>
    </row>
    <row r="19" spans="1:8" x14ac:dyDescent="0.3">
      <c r="A19" t="s">
        <v>14</v>
      </c>
      <c r="B19" t="s">
        <v>27</v>
      </c>
      <c r="C19">
        <v>3</v>
      </c>
      <c r="D19">
        <v>84</v>
      </c>
      <c r="E19" s="15">
        <v>63.09</v>
      </c>
      <c r="F19" s="15">
        <v>50</v>
      </c>
      <c r="G19" s="15">
        <v>78.400000000000006</v>
      </c>
      <c r="H19" s="15">
        <v>6.02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customWidth="1"/>
    <col min="2" max="2" width="10.6640625" customWidth="1"/>
    <col min="3" max="3" width="13.6640625" customWidth="1"/>
    <col min="4" max="4" width="11.6640625" customWidth="1"/>
    <col min="5" max="5" width="17.6640625" customWidth="1"/>
    <col min="6" max="6" width="18.6640625" customWidth="1"/>
  </cols>
  <sheetData>
    <row r="1" spans="1:6" x14ac:dyDescent="0.3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3">
      <c r="A2" t="s">
        <v>12</v>
      </c>
      <c r="B2" s="15">
        <v>187.3</v>
      </c>
      <c r="C2" s="15">
        <v>169.01</v>
      </c>
      <c r="D2" s="15">
        <v>158.28</v>
      </c>
      <c r="E2" s="15">
        <v>29.02</v>
      </c>
      <c r="F2" s="16">
        <v>18.3</v>
      </c>
    </row>
    <row r="3" spans="1:6" x14ac:dyDescent="0.3">
      <c r="A3" t="s">
        <v>14</v>
      </c>
      <c r="B3" s="15">
        <v>73.95</v>
      </c>
      <c r="C3" s="15">
        <v>67.38</v>
      </c>
      <c r="D3" s="15">
        <v>63.09</v>
      </c>
      <c r="E3" s="15">
        <v>10.86</v>
      </c>
      <c r="F3" s="16">
        <v>17.2</v>
      </c>
    </row>
    <row r="4" spans="1:6" x14ac:dyDescent="0.3">
      <c r="A4" t="s">
        <v>10</v>
      </c>
      <c r="B4" s="15">
        <v>172.6</v>
      </c>
      <c r="C4" s="15">
        <v>156.56</v>
      </c>
      <c r="D4" s="15">
        <v>148.4</v>
      </c>
      <c r="E4" s="15">
        <v>24.2</v>
      </c>
      <c r="F4" s="16">
        <v>16.3</v>
      </c>
    </row>
    <row r="5" spans="1:6" x14ac:dyDescent="0.3">
      <c r="A5" t="s">
        <v>15</v>
      </c>
      <c r="B5" s="15">
        <v>132.16</v>
      </c>
      <c r="C5" s="15">
        <v>120.93</v>
      </c>
      <c r="D5" s="15">
        <v>114.37</v>
      </c>
      <c r="E5" s="15">
        <v>17.78</v>
      </c>
      <c r="F5" s="16">
        <v>15.5</v>
      </c>
    </row>
    <row r="6" spans="1:6" x14ac:dyDescent="0.3">
      <c r="A6" t="s">
        <v>11</v>
      </c>
      <c r="B6" s="15">
        <v>34.24</v>
      </c>
      <c r="C6" s="15">
        <v>31.14</v>
      </c>
      <c r="D6" s="15">
        <v>29.8</v>
      </c>
      <c r="E6" s="15">
        <v>4.4400000000000004</v>
      </c>
      <c r="F6" s="16">
        <v>14.9</v>
      </c>
    </row>
    <row r="7" spans="1:6" x14ac:dyDescent="0.3">
      <c r="A7" t="s">
        <v>8</v>
      </c>
      <c r="B7" s="15">
        <v>91.89</v>
      </c>
      <c r="C7" s="15">
        <v>84.38</v>
      </c>
      <c r="D7" s="15">
        <v>82.73</v>
      </c>
      <c r="E7" s="15">
        <v>9.16</v>
      </c>
      <c r="F7" s="16">
        <v>11.1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customWidth="1"/>
    <col min="2" max="2" width="23.6640625" customWidth="1"/>
    <col min="3" max="3" width="8.6640625" customWidth="1"/>
    <col min="4" max="4" width="9.6640625" customWidth="1"/>
    <col min="5" max="5" width="10.6640625" customWidth="1"/>
    <col min="6" max="6" width="11.6640625" customWidth="1"/>
    <col min="7" max="7" width="18.6640625" customWidth="1"/>
  </cols>
  <sheetData>
    <row r="1" spans="1:7" x14ac:dyDescent="0.3">
      <c r="A1" t="s">
        <v>0</v>
      </c>
      <c r="B1" t="s">
        <v>16</v>
      </c>
      <c r="C1" t="s">
        <v>33</v>
      </c>
      <c r="D1" t="s">
        <v>34</v>
      </c>
      <c r="E1" t="s">
        <v>28</v>
      </c>
      <c r="F1" t="s">
        <v>30</v>
      </c>
      <c r="G1" t="s">
        <v>32</v>
      </c>
    </row>
    <row r="2" spans="1:7" x14ac:dyDescent="0.3">
      <c r="A2" t="s">
        <v>12</v>
      </c>
      <c r="B2" t="s">
        <v>20</v>
      </c>
      <c r="C2">
        <v>8</v>
      </c>
      <c r="D2">
        <v>13</v>
      </c>
      <c r="E2" s="15">
        <v>196.39</v>
      </c>
      <c r="F2" s="15">
        <v>158.86000000000001</v>
      </c>
      <c r="G2" s="16">
        <v>23.6</v>
      </c>
    </row>
    <row r="3" spans="1:7" x14ac:dyDescent="0.3">
      <c r="A3" t="s">
        <v>12</v>
      </c>
      <c r="B3" t="s">
        <v>22</v>
      </c>
      <c r="C3">
        <v>10</v>
      </c>
      <c r="D3">
        <v>8</v>
      </c>
      <c r="E3" s="15">
        <v>185.38</v>
      </c>
      <c r="F3" s="15">
        <v>152.59</v>
      </c>
      <c r="G3" s="16">
        <v>21.5</v>
      </c>
    </row>
    <row r="4" spans="1:7" x14ac:dyDescent="0.3">
      <c r="A4" t="s">
        <v>12</v>
      </c>
      <c r="B4" t="s">
        <v>21</v>
      </c>
      <c r="C4">
        <v>17</v>
      </c>
      <c r="D4">
        <v>15</v>
      </c>
      <c r="E4" s="15">
        <v>184.79</v>
      </c>
      <c r="F4" s="15">
        <v>154.99</v>
      </c>
      <c r="G4" s="16">
        <v>19.2</v>
      </c>
    </row>
    <row r="5" spans="1:7" x14ac:dyDescent="0.3">
      <c r="A5" t="s">
        <v>12</v>
      </c>
      <c r="B5" t="s">
        <v>17</v>
      </c>
      <c r="C5">
        <v>10</v>
      </c>
      <c r="D5">
        <v>12</v>
      </c>
      <c r="E5" s="15">
        <v>188.49</v>
      </c>
      <c r="F5" s="15">
        <v>159.71</v>
      </c>
      <c r="G5" s="16">
        <v>18</v>
      </c>
    </row>
    <row r="6" spans="1:7" x14ac:dyDescent="0.3">
      <c r="A6" t="s">
        <v>12</v>
      </c>
      <c r="B6" t="s">
        <v>19</v>
      </c>
      <c r="C6">
        <v>15</v>
      </c>
      <c r="D6">
        <v>14</v>
      </c>
      <c r="E6" s="15">
        <v>188.69</v>
      </c>
      <c r="F6" s="15">
        <v>161.18</v>
      </c>
      <c r="G6" s="16">
        <v>17.100000000000001</v>
      </c>
    </row>
    <row r="7" spans="1:7" x14ac:dyDescent="0.3">
      <c r="A7" t="s">
        <v>12</v>
      </c>
      <c r="B7" t="s">
        <v>18</v>
      </c>
      <c r="C7">
        <v>4</v>
      </c>
      <c r="D7">
        <v>5</v>
      </c>
      <c r="E7" s="15">
        <v>176.47</v>
      </c>
      <c r="F7" s="15">
        <v>164.21</v>
      </c>
      <c r="G7" s="16">
        <v>7.5</v>
      </c>
    </row>
    <row r="8" spans="1:7" x14ac:dyDescent="0.3">
      <c r="A8" t="s">
        <v>10</v>
      </c>
      <c r="B8" t="s">
        <v>20</v>
      </c>
      <c r="C8">
        <v>2</v>
      </c>
      <c r="D8">
        <v>5</v>
      </c>
      <c r="E8" s="15">
        <v>182.98</v>
      </c>
      <c r="F8" s="15">
        <v>138.56</v>
      </c>
      <c r="G8" s="16">
        <v>32.1</v>
      </c>
    </row>
    <row r="9" spans="1:7" x14ac:dyDescent="0.3">
      <c r="A9" t="s">
        <v>10</v>
      </c>
      <c r="B9" t="s">
        <v>22</v>
      </c>
      <c r="C9">
        <v>6</v>
      </c>
      <c r="D9">
        <v>7</v>
      </c>
      <c r="E9" s="15">
        <v>189.05</v>
      </c>
      <c r="F9" s="15">
        <v>154.94999999999999</v>
      </c>
      <c r="G9" s="16">
        <v>22</v>
      </c>
    </row>
    <row r="10" spans="1:7" x14ac:dyDescent="0.3">
      <c r="A10" t="s">
        <v>10</v>
      </c>
      <c r="B10" t="s">
        <v>19</v>
      </c>
      <c r="C10">
        <v>8</v>
      </c>
      <c r="D10">
        <v>12</v>
      </c>
      <c r="E10" s="15">
        <v>173.91</v>
      </c>
      <c r="F10" s="15">
        <v>143.91</v>
      </c>
      <c r="G10" s="16">
        <v>20.8</v>
      </c>
    </row>
    <row r="11" spans="1:7" x14ac:dyDescent="0.3">
      <c r="A11" t="s">
        <v>10</v>
      </c>
      <c r="B11" t="s">
        <v>21</v>
      </c>
      <c r="C11">
        <v>19</v>
      </c>
      <c r="D11">
        <v>18</v>
      </c>
      <c r="E11" s="15">
        <v>170.53</v>
      </c>
      <c r="F11" s="15">
        <v>149.30000000000001</v>
      </c>
      <c r="G11" s="16">
        <v>14.2</v>
      </c>
    </row>
    <row r="12" spans="1:7" x14ac:dyDescent="0.3">
      <c r="A12" t="s">
        <v>10</v>
      </c>
      <c r="B12" t="s">
        <v>18</v>
      </c>
      <c r="C12">
        <v>3</v>
      </c>
      <c r="D12">
        <v>7</v>
      </c>
      <c r="E12" s="15">
        <v>174.62</v>
      </c>
      <c r="F12" s="15">
        <v>154.38999999999999</v>
      </c>
      <c r="G12" s="16">
        <v>13.1</v>
      </c>
    </row>
    <row r="13" spans="1:7" x14ac:dyDescent="0.3">
      <c r="A13" t="s">
        <v>10</v>
      </c>
      <c r="B13" t="s">
        <v>17</v>
      </c>
      <c r="C13">
        <v>8</v>
      </c>
      <c r="D13">
        <v>10</v>
      </c>
      <c r="E13" s="15">
        <v>160.52000000000001</v>
      </c>
      <c r="F13" s="15">
        <v>148.30000000000001</v>
      </c>
      <c r="G13" s="16">
        <v>8.1999999999999993</v>
      </c>
    </row>
    <row r="14" spans="1:7" x14ac:dyDescent="0.3">
      <c r="A14" t="s">
        <v>15</v>
      </c>
      <c r="B14" t="s">
        <v>20</v>
      </c>
      <c r="C14">
        <v>9</v>
      </c>
      <c r="D14">
        <v>7</v>
      </c>
      <c r="E14" s="15">
        <v>133.08000000000001</v>
      </c>
      <c r="F14" s="15">
        <v>110.62</v>
      </c>
      <c r="G14" s="16">
        <v>20.3</v>
      </c>
    </row>
    <row r="15" spans="1:7" x14ac:dyDescent="0.3">
      <c r="A15" t="s">
        <v>15</v>
      </c>
      <c r="B15" t="s">
        <v>17</v>
      </c>
      <c r="C15">
        <v>8</v>
      </c>
      <c r="D15">
        <v>13</v>
      </c>
      <c r="E15" s="15">
        <v>130.16</v>
      </c>
      <c r="F15" s="15">
        <v>110.73</v>
      </c>
      <c r="G15" s="16">
        <v>17.5</v>
      </c>
    </row>
    <row r="16" spans="1:7" x14ac:dyDescent="0.3">
      <c r="A16" t="s">
        <v>15</v>
      </c>
      <c r="B16" t="s">
        <v>18</v>
      </c>
      <c r="C16">
        <v>4</v>
      </c>
      <c r="D16">
        <v>8</v>
      </c>
      <c r="E16" s="15">
        <v>136.35</v>
      </c>
      <c r="F16" s="15">
        <v>117.48</v>
      </c>
      <c r="G16" s="16">
        <v>16.100000000000001</v>
      </c>
    </row>
    <row r="17" spans="1:7" x14ac:dyDescent="0.3">
      <c r="A17" t="s">
        <v>15</v>
      </c>
      <c r="B17" t="s">
        <v>21</v>
      </c>
      <c r="C17">
        <v>15</v>
      </c>
      <c r="D17">
        <v>18</v>
      </c>
      <c r="E17" s="15">
        <v>130.81</v>
      </c>
      <c r="F17" s="15">
        <v>113.32</v>
      </c>
      <c r="G17" s="16">
        <v>15.4</v>
      </c>
    </row>
    <row r="18" spans="1:7" x14ac:dyDescent="0.3">
      <c r="A18" t="s">
        <v>15</v>
      </c>
      <c r="B18" t="s">
        <v>22</v>
      </c>
      <c r="C18">
        <v>10</v>
      </c>
      <c r="D18">
        <v>11</v>
      </c>
      <c r="E18" s="15">
        <v>133.18</v>
      </c>
      <c r="F18" s="15">
        <v>117.31</v>
      </c>
      <c r="G18" s="16">
        <v>13.5</v>
      </c>
    </row>
    <row r="19" spans="1:7" x14ac:dyDescent="0.3">
      <c r="A19" t="s">
        <v>15</v>
      </c>
      <c r="B19" t="s">
        <v>19</v>
      </c>
      <c r="C19">
        <v>21</v>
      </c>
      <c r="D19">
        <v>10</v>
      </c>
      <c r="E19" s="15">
        <v>132.19999999999999</v>
      </c>
      <c r="F19" s="15">
        <v>117.92</v>
      </c>
      <c r="G19" s="16">
        <v>12.1</v>
      </c>
    </row>
    <row r="20" spans="1:7" x14ac:dyDescent="0.3">
      <c r="A20" t="s">
        <v>8</v>
      </c>
      <c r="B20" t="s">
        <v>18</v>
      </c>
      <c r="C20">
        <v>5</v>
      </c>
      <c r="D20">
        <v>10</v>
      </c>
      <c r="E20" s="15">
        <v>106.93</v>
      </c>
      <c r="F20" s="15">
        <v>83.14</v>
      </c>
      <c r="G20" s="16">
        <v>28.6</v>
      </c>
    </row>
    <row r="21" spans="1:7" x14ac:dyDescent="0.3">
      <c r="A21" t="s">
        <v>8</v>
      </c>
      <c r="B21" t="s">
        <v>22</v>
      </c>
      <c r="C21">
        <v>14</v>
      </c>
      <c r="D21">
        <v>10</v>
      </c>
      <c r="E21" s="15">
        <v>93.66</v>
      </c>
      <c r="F21" s="15">
        <v>80.900000000000006</v>
      </c>
      <c r="G21" s="16">
        <v>15.8</v>
      </c>
    </row>
    <row r="22" spans="1:7" x14ac:dyDescent="0.3">
      <c r="A22" t="s">
        <v>8</v>
      </c>
      <c r="B22" t="s">
        <v>19</v>
      </c>
      <c r="C22">
        <v>17</v>
      </c>
      <c r="D22">
        <v>14</v>
      </c>
      <c r="E22" s="15">
        <v>90.42</v>
      </c>
      <c r="F22" s="15">
        <v>81.209999999999994</v>
      </c>
      <c r="G22" s="16">
        <v>11.3</v>
      </c>
    </row>
    <row r="23" spans="1:7" x14ac:dyDescent="0.3">
      <c r="A23" t="s">
        <v>8</v>
      </c>
      <c r="B23" t="s">
        <v>21</v>
      </c>
      <c r="C23">
        <v>20</v>
      </c>
      <c r="D23">
        <v>22</v>
      </c>
      <c r="E23" s="15">
        <v>89.76</v>
      </c>
      <c r="F23" s="15">
        <v>82.26</v>
      </c>
      <c r="G23" s="16">
        <v>9.1</v>
      </c>
    </row>
    <row r="24" spans="1:7" x14ac:dyDescent="0.3">
      <c r="A24" t="s">
        <v>8</v>
      </c>
      <c r="B24" t="s">
        <v>17</v>
      </c>
      <c r="C24">
        <v>12</v>
      </c>
      <c r="D24">
        <v>13</v>
      </c>
      <c r="E24" s="15">
        <v>91.01</v>
      </c>
      <c r="F24" s="15">
        <v>84.2</v>
      </c>
      <c r="G24" s="16">
        <v>8.1</v>
      </c>
    </row>
    <row r="25" spans="1:7" x14ac:dyDescent="0.3">
      <c r="A25" t="s">
        <v>8</v>
      </c>
      <c r="B25" t="s">
        <v>20</v>
      </c>
      <c r="C25">
        <v>10</v>
      </c>
      <c r="D25">
        <v>4</v>
      </c>
      <c r="E25" s="15">
        <v>89.74</v>
      </c>
      <c r="F25" s="15">
        <v>89.46</v>
      </c>
      <c r="G25" s="16">
        <v>0.3</v>
      </c>
    </row>
    <row r="26" spans="1:7" x14ac:dyDescent="0.3">
      <c r="A26" t="s">
        <v>11</v>
      </c>
      <c r="B26" t="s">
        <v>22</v>
      </c>
      <c r="C26">
        <v>11</v>
      </c>
      <c r="D26">
        <v>21</v>
      </c>
      <c r="E26" s="15">
        <v>35.49</v>
      </c>
      <c r="F26" s="15">
        <v>28.61</v>
      </c>
      <c r="G26" s="16">
        <v>24</v>
      </c>
    </row>
    <row r="27" spans="1:7" x14ac:dyDescent="0.3">
      <c r="A27" t="s">
        <v>11</v>
      </c>
      <c r="B27" t="s">
        <v>17</v>
      </c>
      <c r="C27">
        <v>7</v>
      </c>
      <c r="D27">
        <v>14</v>
      </c>
      <c r="E27" s="15">
        <v>33.82</v>
      </c>
      <c r="F27" s="15">
        <v>29.06</v>
      </c>
      <c r="G27" s="16">
        <v>16.399999999999999</v>
      </c>
    </row>
    <row r="28" spans="1:7" x14ac:dyDescent="0.3">
      <c r="A28" t="s">
        <v>11</v>
      </c>
      <c r="B28" t="s">
        <v>20</v>
      </c>
      <c r="C28">
        <v>7</v>
      </c>
      <c r="D28">
        <v>8</v>
      </c>
      <c r="E28" s="15">
        <v>33.619999999999997</v>
      </c>
      <c r="F28" s="15">
        <v>29.12</v>
      </c>
      <c r="G28" s="16">
        <v>15.5</v>
      </c>
    </row>
    <row r="29" spans="1:7" x14ac:dyDescent="0.3">
      <c r="A29" t="s">
        <v>11</v>
      </c>
      <c r="B29" t="s">
        <v>21</v>
      </c>
      <c r="C29">
        <v>19</v>
      </c>
      <c r="D29">
        <v>25</v>
      </c>
      <c r="E29" s="15">
        <v>34.409999999999997</v>
      </c>
      <c r="F29" s="15">
        <v>30.05</v>
      </c>
      <c r="G29" s="16">
        <v>14.5</v>
      </c>
    </row>
    <row r="30" spans="1:7" x14ac:dyDescent="0.3">
      <c r="A30" t="s">
        <v>11</v>
      </c>
      <c r="B30" t="s">
        <v>19</v>
      </c>
      <c r="C30">
        <v>11</v>
      </c>
      <c r="D30">
        <v>18</v>
      </c>
      <c r="E30" s="15">
        <v>34.56</v>
      </c>
      <c r="F30" s="15">
        <v>31.04</v>
      </c>
      <c r="G30" s="16">
        <v>11.3</v>
      </c>
    </row>
    <row r="31" spans="1:7" x14ac:dyDescent="0.3">
      <c r="A31" t="s">
        <v>11</v>
      </c>
      <c r="B31" t="s">
        <v>18</v>
      </c>
      <c r="C31">
        <v>6</v>
      </c>
      <c r="D31">
        <v>6</v>
      </c>
      <c r="E31" s="15">
        <v>32.07</v>
      </c>
      <c r="F31" s="15">
        <v>31.87</v>
      </c>
      <c r="G31" s="16">
        <v>0.6</v>
      </c>
    </row>
    <row r="32" spans="1:7" x14ac:dyDescent="0.3">
      <c r="A32" t="s">
        <v>14</v>
      </c>
      <c r="B32" t="s">
        <v>18</v>
      </c>
      <c r="C32">
        <v>8</v>
      </c>
      <c r="D32">
        <v>8</v>
      </c>
      <c r="E32" s="15">
        <v>77.02</v>
      </c>
      <c r="F32" s="15">
        <v>61.48</v>
      </c>
      <c r="G32" s="16">
        <v>25.3</v>
      </c>
    </row>
    <row r="33" spans="1:7" x14ac:dyDescent="0.3">
      <c r="A33" t="s">
        <v>14</v>
      </c>
      <c r="B33" t="s">
        <v>19</v>
      </c>
      <c r="C33">
        <v>19</v>
      </c>
      <c r="D33">
        <v>25</v>
      </c>
      <c r="E33" s="15">
        <v>73.69</v>
      </c>
      <c r="F33" s="15">
        <v>63.03</v>
      </c>
      <c r="G33" s="16">
        <v>16.899999999999999</v>
      </c>
    </row>
    <row r="34" spans="1:7" x14ac:dyDescent="0.3">
      <c r="A34" t="s">
        <v>14</v>
      </c>
      <c r="B34" t="s">
        <v>22</v>
      </c>
      <c r="C34">
        <v>13</v>
      </c>
      <c r="D34">
        <v>13</v>
      </c>
      <c r="E34" s="15">
        <v>72.92</v>
      </c>
      <c r="F34" s="15">
        <v>62.44</v>
      </c>
      <c r="G34" s="16">
        <v>16.8</v>
      </c>
    </row>
    <row r="35" spans="1:7" x14ac:dyDescent="0.3">
      <c r="A35" t="s">
        <v>14</v>
      </c>
      <c r="B35" t="s">
        <v>17</v>
      </c>
      <c r="C35">
        <v>12</v>
      </c>
      <c r="D35">
        <v>13</v>
      </c>
      <c r="E35" s="15">
        <v>74.27</v>
      </c>
      <c r="F35" s="15">
        <v>63.79</v>
      </c>
      <c r="G35" s="16">
        <v>16.399999999999999</v>
      </c>
    </row>
    <row r="36" spans="1:7" x14ac:dyDescent="0.3">
      <c r="A36" t="s">
        <v>14</v>
      </c>
      <c r="B36" t="s">
        <v>21</v>
      </c>
      <c r="C36">
        <v>34</v>
      </c>
      <c r="D36">
        <v>16</v>
      </c>
      <c r="E36" s="15">
        <v>73.61</v>
      </c>
      <c r="F36" s="15">
        <v>63.38</v>
      </c>
      <c r="G36" s="16">
        <v>16.100000000000001</v>
      </c>
    </row>
    <row r="37" spans="1:7" x14ac:dyDescent="0.3">
      <c r="A37" t="s">
        <v>14</v>
      </c>
      <c r="B37" t="s">
        <v>20</v>
      </c>
      <c r="C37">
        <v>6</v>
      </c>
      <c r="D37">
        <v>9</v>
      </c>
      <c r="E37" s="15">
        <v>74.260000000000005</v>
      </c>
      <c r="F37" s="15">
        <v>64.099999999999994</v>
      </c>
      <c r="G37" s="16">
        <v>15.8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6640625" customWidth="1"/>
    <col min="2" max="3" width="15.6640625" customWidth="1"/>
    <col min="4" max="4" width="20.6640625" customWidth="1"/>
    <col min="5" max="5" width="18.6640625" customWidth="1"/>
  </cols>
  <sheetData>
    <row r="1" spans="1:5" x14ac:dyDescent="0.3">
      <c r="A1" t="s">
        <v>23</v>
      </c>
      <c r="B1" t="s">
        <v>2</v>
      </c>
      <c r="C1" t="s">
        <v>35</v>
      </c>
      <c r="D1" t="s">
        <v>36</v>
      </c>
      <c r="E1" t="s">
        <v>37</v>
      </c>
    </row>
    <row r="2" spans="1:5" x14ac:dyDescent="0.3">
      <c r="A2" t="s">
        <v>25</v>
      </c>
      <c r="B2">
        <v>408</v>
      </c>
      <c r="C2">
        <v>118</v>
      </c>
      <c r="D2" s="16">
        <v>28.9</v>
      </c>
      <c r="E2" s="15">
        <v>8.5</v>
      </c>
    </row>
    <row r="3" spans="1:5" x14ac:dyDescent="0.3">
      <c r="A3" t="s">
        <v>26</v>
      </c>
      <c r="B3">
        <v>1050</v>
      </c>
      <c r="C3">
        <v>86</v>
      </c>
      <c r="D3" s="16">
        <v>8.1999999999999993</v>
      </c>
      <c r="E3" s="15">
        <v>-0.7</v>
      </c>
    </row>
    <row r="4" spans="1:5" x14ac:dyDescent="0.3">
      <c r="A4" t="s">
        <v>27</v>
      </c>
      <c r="B4">
        <v>442</v>
      </c>
      <c r="C4">
        <v>28</v>
      </c>
      <c r="D4" s="16">
        <v>6.3</v>
      </c>
      <c r="E4" s="15">
        <v>-5.3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.6640625" customWidth="1"/>
    <col min="3" max="3" width="16.6640625" customWidth="1"/>
    <col min="4" max="4" width="15.6640625" customWidth="1"/>
    <col min="5" max="5" width="18.6640625" customWidth="1"/>
    <col min="8" max="10" width="18.6640625" customWidth="1"/>
  </cols>
  <sheetData>
    <row r="1" spans="1:10" x14ac:dyDescent="0.3">
      <c r="A1" t="s">
        <v>23</v>
      </c>
      <c r="B1" t="s">
        <v>24</v>
      </c>
      <c r="C1" t="s">
        <v>38</v>
      </c>
      <c r="D1" t="s">
        <v>2</v>
      </c>
      <c r="E1" t="s">
        <v>39</v>
      </c>
      <c r="H1" s="3" t="s">
        <v>23</v>
      </c>
      <c r="I1" s="3" t="s">
        <v>40</v>
      </c>
      <c r="J1" s="3" t="s">
        <v>41</v>
      </c>
    </row>
    <row r="2" spans="1:10" x14ac:dyDescent="0.3">
      <c r="A2" t="s">
        <v>25</v>
      </c>
      <c r="B2">
        <v>1</v>
      </c>
      <c r="C2">
        <v>0</v>
      </c>
      <c r="D2">
        <v>290</v>
      </c>
      <c r="E2" s="17">
        <v>104.3</v>
      </c>
      <c r="H2" t="s">
        <v>25</v>
      </c>
      <c r="I2" s="17">
        <v>104.3</v>
      </c>
      <c r="J2" s="17">
        <v>119.6</v>
      </c>
    </row>
    <row r="3" spans="1:10" x14ac:dyDescent="0.3">
      <c r="A3" t="s">
        <v>25</v>
      </c>
      <c r="B3">
        <v>1</v>
      </c>
      <c r="C3">
        <v>1</v>
      </c>
      <c r="D3">
        <v>118</v>
      </c>
      <c r="E3" s="17">
        <v>119.6</v>
      </c>
      <c r="H3" t="s">
        <v>26</v>
      </c>
      <c r="I3" s="17">
        <v>97.2</v>
      </c>
      <c r="J3" s="17">
        <v>119.9</v>
      </c>
    </row>
    <row r="4" spans="1:10" x14ac:dyDescent="0.3">
      <c r="A4" t="s">
        <v>26</v>
      </c>
      <c r="B4">
        <v>2</v>
      </c>
      <c r="C4">
        <v>0</v>
      </c>
      <c r="D4">
        <v>964</v>
      </c>
      <c r="E4" s="17">
        <v>97.2</v>
      </c>
      <c r="H4" t="s">
        <v>27</v>
      </c>
      <c r="I4" s="17">
        <v>92.5</v>
      </c>
      <c r="J4" s="17">
        <v>119.7</v>
      </c>
    </row>
    <row r="5" spans="1:10" x14ac:dyDescent="0.3">
      <c r="A5" t="s">
        <v>26</v>
      </c>
      <c r="B5">
        <v>2</v>
      </c>
      <c r="C5">
        <v>1</v>
      </c>
      <c r="D5">
        <v>86</v>
      </c>
      <c r="E5" s="17">
        <v>119.9</v>
      </c>
    </row>
    <row r="6" spans="1:10" x14ac:dyDescent="0.3">
      <c r="A6" t="s">
        <v>27</v>
      </c>
      <c r="B6">
        <v>3</v>
      </c>
      <c r="C6">
        <v>0</v>
      </c>
      <c r="D6">
        <v>414</v>
      </c>
      <c r="E6" s="17">
        <v>92.5</v>
      </c>
    </row>
    <row r="7" spans="1:10" x14ac:dyDescent="0.3">
      <c r="A7" t="s">
        <v>27</v>
      </c>
      <c r="B7">
        <v>3</v>
      </c>
      <c r="C7">
        <v>1</v>
      </c>
      <c r="D7">
        <v>28</v>
      </c>
      <c r="E7" s="17">
        <v>119.7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19.6640625" customWidth="1"/>
    <col min="3" max="3" width="15.6640625" customWidth="1"/>
    <col min="4" max="4" width="18.6640625" customWidth="1"/>
  </cols>
  <sheetData>
    <row r="1" spans="1:4" x14ac:dyDescent="0.3">
      <c r="A1" t="s">
        <v>42</v>
      </c>
      <c r="B1" t="s">
        <v>43</v>
      </c>
      <c r="C1" t="s">
        <v>2</v>
      </c>
      <c r="D1" t="s">
        <v>39</v>
      </c>
    </row>
    <row r="2" spans="1:4" x14ac:dyDescent="0.3">
      <c r="A2" t="s">
        <v>44</v>
      </c>
      <c r="B2" t="s">
        <v>45</v>
      </c>
      <c r="C2">
        <v>65</v>
      </c>
      <c r="D2" s="17">
        <v>113.6</v>
      </c>
    </row>
    <row r="3" spans="1:4" x14ac:dyDescent="0.3">
      <c r="A3" t="s">
        <v>44</v>
      </c>
      <c r="B3" t="s">
        <v>46</v>
      </c>
      <c r="C3">
        <v>38</v>
      </c>
      <c r="D3" s="17">
        <v>109.4</v>
      </c>
    </row>
    <row r="4" spans="1:4" x14ac:dyDescent="0.3">
      <c r="A4" t="s">
        <v>47</v>
      </c>
      <c r="B4" t="s">
        <v>45</v>
      </c>
      <c r="C4">
        <v>474</v>
      </c>
      <c r="D4" s="17">
        <v>106.7</v>
      </c>
    </row>
    <row r="5" spans="1:4" x14ac:dyDescent="0.3">
      <c r="A5" t="s">
        <v>48</v>
      </c>
      <c r="B5" t="s">
        <v>45</v>
      </c>
      <c r="C5">
        <v>572</v>
      </c>
      <c r="D5" s="17">
        <v>101.8</v>
      </c>
    </row>
    <row r="6" spans="1:4" x14ac:dyDescent="0.3">
      <c r="A6" t="s">
        <v>47</v>
      </c>
      <c r="B6" t="s">
        <v>46</v>
      </c>
      <c r="C6">
        <v>300</v>
      </c>
      <c r="D6" s="17">
        <v>95.9</v>
      </c>
    </row>
    <row r="7" spans="1:4" x14ac:dyDescent="0.3">
      <c r="A7" t="s">
        <v>48</v>
      </c>
      <c r="B7" t="s">
        <v>46</v>
      </c>
      <c r="C7">
        <v>451</v>
      </c>
      <c r="D7" s="17">
        <v>90.7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01"/>
  <sheetViews>
    <sheetView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10.6640625" customWidth="1"/>
    <col min="2" max="2" width="23.6640625" customWidth="1"/>
    <col min="3" max="4" width="13.6640625" customWidth="1"/>
    <col min="5" max="5" width="22.6640625" customWidth="1"/>
    <col min="6" max="6" width="7.6640625" customWidth="1"/>
    <col min="7" max="7" width="17.6640625" customWidth="1"/>
    <col min="8" max="9" width="14.6640625" customWidth="1"/>
    <col min="10" max="10" width="10.6640625" customWidth="1"/>
    <col min="11" max="11" width="19.6640625" customWidth="1"/>
    <col min="12" max="12" width="20.6640625" customWidth="1"/>
    <col min="13" max="13" width="14.6640625" customWidth="1"/>
    <col min="14" max="14" width="20.6640625" customWidth="1"/>
    <col min="15" max="15" width="14.6640625" customWidth="1"/>
    <col min="16" max="16" width="16.6640625" customWidth="1"/>
  </cols>
  <sheetData>
    <row r="1" spans="1:16" x14ac:dyDescent="0.3">
      <c r="A1" t="s">
        <v>49</v>
      </c>
      <c r="B1" t="s">
        <v>16</v>
      </c>
      <c r="C1" t="s">
        <v>50</v>
      </c>
      <c r="D1" t="s">
        <v>0</v>
      </c>
      <c r="E1" t="s">
        <v>51</v>
      </c>
      <c r="F1" t="s">
        <v>1</v>
      </c>
      <c r="G1" t="s">
        <v>52</v>
      </c>
      <c r="H1" t="s">
        <v>23</v>
      </c>
      <c r="I1" t="s">
        <v>24</v>
      </c>
      <c r="J1" t="s">
        <v>42</v>
      </c>
      <c r="K1" t="s">
        <v>43</v>
      </c>
      <c r="L1" t="s">
        <v>53</v>
      </c>
      <c r="M1" t="s">
        <v>54</v>
      </c>
      <c r="N1" t="s">
        <v>55</v>
      </c>
      <c r="O1" t="s">
        <v>56</v>
      </c>
      <c r="P1" t="s">
        <v>38</v>
      </c>
    </row>
    <row r="2" spans="1:16" x14ac:dyDescent="0.3">
      <c r="A2" t="s">
        <v>57</v>
      </c>
      <c r="B2" t="s">
        <v>17</v>
      </c>
      <c r="C2" t="s">
        <v>17</v>
      </c>
      <c r="D2" t="s">
        <v>10</v>
      </c>
      <c r="E2" t="s">
        <v>58</v>
      </c>
      <c r="F2" t="s">
        <v>9</v>
      </c>
      <c r="G2" s="15">
        <v>163.12</v>
      </c>
      <c r="H2" t="s">
        <v>26</v>
      </c>
      <c r="I2">
        <v>2</v>
      </c>
      <c r="J2" t="s">
        <v>47</v>
      </c>
      <c r="K2" t="s">
        <v>45</v>
      </c>
      <c r="L2" t="s">
        <v>45</v>
      </c>
      <c r="M2" t="s">
        <v>59</v>
      </c>
      <c r="N2" s="15">
        <v>151.19</v>
      </c>
      <c r="O2" s="16">
        <v>7.9</v>
      </c>
      <c r="P2">
        <v>0</v>
      </c>
    </row>
    <row r="3" spans="1:16" x14ac:dyDescent="0.3">
      <c r="A3" t="s">
        <v>60</v>
      </c>
      <c r="B3" t="s">
        <v>19</v>
      </c>
      <c r="C3" t="s">
        <v>19</v>
      </c>
      <c r="D3" t="s">
        <v>10</v>
      </c>
      <c r="E3" t="s">
        <v>58</v>
      </c>
      <c r="F3" t="s">
        <v>9</v>
      </c>
      <c r="G3" s="15">
        <v>151.94</v>
      </c>
      <c r="H3" t="s">
        <v>26</v>
      </c>
      <c r="I3">
        <v>2</v>
      </c>
      <c r="J3" t="s">
        <v>48</v>
      </c>
      <c r="K3" t="s">
        <v>45</v>
      </c>
      <c r="L3" t="s">
        <v>45</v>
      </c>
      <c r="M3" t="s">
        <v>61</v>
      </c>
      <c r="N3" s="15">
        <v>152.03</v>
      </c>
      <c r="O3" s="16">
        <v>-0.1</v>
      </c>
      <c r="P3">
        <v>0</v>
      </c>
    </row>
    <row r="4" spans="1:16" x14ac:dyDescent="0.3">
      <c r="A4" t="s">
        <v>60</v>
      </c>
      <c r="B4" t="s">
        <v>21</v>
      </c>
      <c r="C4" t="s">
        <v>62</v>
      </c>
      <c r="D4" t="s">
        <v>14</v>
      </c>
      <c r="E4" t="s">
        <v>63</v>
      </c>
      <c r="F4" t="s">
        <v>9</v>
      </c>
      <c r="G4" s="15">
        <v>61.7</v>
      </c>
      <c r="H4" t="s">
        <v>26</v>
      </c>
      <c r="I4">
        <v>2</v>
      </c>
      <c r="J4" t="s">
        <v>48</v>
      </c>
      <c r="K4" t="s">
        <v>46</v>
      </c>
      <c r="L4" t="s">
        <v>45</v>
      </c>
      <c r="M4" t="s">
        <v>64</v>
      </c>
      <c r="N4" s="15">
        <v>66.680000000000007</v>
      </c>
      <c r="O4" s="16">
        <v>-7.5</v>
      </c>
      <c r="P4">
        <v>0</v>
      </c>
    </row>
    <row r="5" spans="1:16" x14ac:dyDescent="0.3">
      <c r="A5" t="s">
        <v>65</v>
      </c>
      <c r="B5" t="s">
        <v>22</v>
      </c>
      <c r="C5" t="s">
        <v>22</v>
      </c>
      <c r="D5" t="s">
        <v>12</v>
      </c>
      <c r="E5" t="s">
        <v>66</v>
      </c>
      <c r="F5" t="s">
        <v>13</v>
      </c>
      <c r="G5" s="15">
        <v>183.4</v>
      </c>
      <c r="H5" t="s">
        <v>27</v>
      </c>
      <c r="I5">
        <v>3</v>
      </c>
      <c r="J5" t="s">
        <v>47</v>
      </c>
      <c r="K5" t="s">
        <v>45</v>
      </c>
      <c r="L5" t="s">
        <v>46</v>
      </c>
      <c r="M5" t="s">
        <v>67</v>
      </c>
      <c r="N5" s="15">
        <v>178.49</v>
      </c>
      <c r="O5" s="16">
        <v>2.8</v>
      </c>
      <c r="P5">
        <v>0</v>
      </c>
    </row>
    <row r="6" spans="1:16" x14ac:dyDescent="0.3">
      <c r="A6" t="s">
        <v>65</v>
      </c>
      <c r="B6" t="s">
        <v>19</v>
      </c>
      <c r="C6" t="s">
        <v>19</v>
      </c>
      <c r="D6" t="s">
        <v>12</v>
      </c>
      <c r="E6" t="s">
        <v>66</v>
      </c>
      <c r="F6" t="s">
        <v>13</v>
      </c>
      <c r="G6" s="15">
        <v>200</v>
      </c>
      <c r="H6" t="s">
        <v>26</v>
      </c>
      <c r="I6">
        <v>2</v>
      </c>
      <c r="J6" t="s">
        <v>48</v>
      </c>
      <c r="K6" t="s">
        <v>45</v>
      </c>
      <c r="L6" t="s">
        <v>46</v>
      </c>
      <c r="M6" t="s">
        <v>68</v>
      </c>
      <c r="N6" s="15">
        <v>178.49</v>
      </c>
      <c r="O6" s="16">
        <v>12.1</v>
      </c>
      <c r="P6">
        <v>0</v>
      </c>
    </row>
    <row r="7" spans="1:16" x14ac:dyDescent="0.3">
      <c r="A7" t="s">
        <v>57</v>
      </c>
      <c r="B7" t="s">
        <v>21</v>
      </c>
      <c r="C7" t="s">
        <v>62</v>
      </c>
      <c r="D7" t="s">
        <v>10</v>
      </c>
      <c r="E7" t="s">
        <v>69</v>
      </c>
      <c r="F7" t="s">
        <v>9</v>
      </c>
      <c r="G7" s="15">
        <v>146.78</v>
      </c>
      <c r="H7" t="s">
        <v>27</v>
      </c>
      <c r="I7">
        <v>3</v>
      </c>
      <c r="J7" t="s">
        <v>48</v>
      </c>
      <c r="K7" t="s">
        <v>46</v>
      </c>
      <c r="L7" t="s">
        <v>45</v>
      </c>
      <c r="M7" t="s">
        <v>68</v>
      </c>
      <c r="N7" s="15">
        <v>150.38999999999999</v>
      </c>
      <c r="O7" s="16">
        <v>-2.4</v>
      </c>
      <c r="P7">
        <v>0</v>
      </c>
    </row>
    <row r="8" spans="1:16" x14ac:dyDescent="0.3">
      <c r="A8" t="s">
        <v>65</v>
      </c>
      <c r="B8" t="s">
        <v>18</v>
      </c>
      <c r="C8" t="s">
        <v>18</v>
      </c>
      <c r="D8" t="s">
        <v>11</v>
      </c>
      <c r="E8" t="s">
        <v>70</v>
      </c>
      <c r="F8" t="s">
        <v>9</v>
      </c>
      <c r="G8" s="15">
        <v>33.35</v>
      </c>
      <c r="H8" t="s">
        <v>26</v>
      </c>
      <c r="I8">
        <v>2</v>
      </c>
      <c r="J8" t="s">
        <v>48</v>
      </c>
      <c r="K8" t="s">
        <v>45</v>
      </c>
      <c r="L8" t="s">
        <v>45</v>
      </c>
      <c r="M8" t="s">
        <v>59</v>
      </c>
      <c r="N8" s="15">
        <v>32.630000000000003</v>
      </c>
      <c r="O8" s="16">
        <v>2.2000000000000002</v>
      </c>
      <c r="P8">
        <v>0</v>
      </c>
    </row>
    <row r="9" spans="1:16" x14ac:dyDescent="0.3">
      <c r="A9" t="s">
        <v>65</v>
      </c>
      <c r="B9" t="s">
        <v>21</v>
      </c>
      <c r="C9" t="s">
        <v>62</v>
      </c>
      <c r="D9" t="s">
        <v>14</v>
      </c>
      <c r="E9" t="s">
        <v>71</v>
      </c>
      <c r="F9" t="s">
        <v>9</v>
      </c>
      <c r="G9" s="15">
        <v>67.819999999999993</v>
      </c>
      <c r="H9" t="s">
        <v>26</v>
      </c>
      <c r="I9">
        <v>2</v>
      </c>
      <c r="J9" t="s">
        <v>47</v>
      </c>
      <c r="K9" t="s">
        <v>45</v>
      </c>
      <c r="L9" t="s">
        <v>45</v>
      </c>
      <c r="M9" t="s">
        <v>59</v>
      </c>
      <c r="N9" s="15">
        <v>71.77</v>
      </c>
      <c r="O9" s="16">
        <v>-5.5</v>
      </c>
      <c r="P9">
        <v>0</v>
      </c>
    </row>
    <row r="10" spans="1:16" x14ac:dyDescent="0.3">
      <c r="A10" t="s">
        <v>60</v>
      </c>
      <c r="B10" t="s">
        <v>17</v>
      </c>
      <c r="C10" t="s">
        <v>17</v>
      </c>
      <c r="D10" t="s">
        <v>14</v>
      </c>
      <c r="E10" t="s">
        <v>63</v>
      </c>
      <c r="F10" t="s">
        <v>9</v>
      </c>
      <c r="G10" s="15">
        <v>63.83</v>
      </c>
      <c r="H10" t="s">
        <v>27</v>
      </c>
      <c r="I10">
        <v>3</v>
      </c>
      <c r="J10" t="s">
        <v>48</v>
      </c>
      <c r="K10" t="s">
        <v>45</v>
      </c>
      <c r="L10" t="s">
        <v>46</v>
      </c>
      <c r="M10" t="s">
        <v>64</v>
      </c>
      <c r="N10" s="15">
        <v>66.680000000000007</v>
      </c>
      <c r="O10" s="16">
        <v>-4.3</v>
      </c>
      <c r="P10">
        <v>0</v>
      </c>
    </row>
    <row r="11" spans="1:16" x14ac:dyDescent="0.3">
      <c r="A11" t="s">
        <v>60</v>
      </c>
      <c r="B11" t="s">
        <v>21</v>
      </c>
      <c r="C11" t="s">
        <v>62</v>
      </c>
      <c r="D11" t="s">
        <v>10</v>
      </c>
      <c r="E11" t="s">
        <v>58</v>
      </c>
      <c r="F11" t="s">
        <v>9</v>
      </c>
      <c r="G11" s="15">
        <v>183.55</v>
      </c>
      <c r="H11" t="s">
        <v>25</v>
      </c>
      <c r="I11">
        <v>1</v>
      </c>
      <c r="J11" t="s">
        <v>48</v>
      </c>
      <c r="K11" t="s">
        <v>45</v>
      </c>
      <c r="L11" t="s">
        <v>45</v>
      </c>
      <c r="M11" t="s">
        <v>72</v>
      </c>
      <c r="N11" s="15">
        <v>152.03</v>
      </c>
      <c r="O11" s="16">
        <v>20.7</v>
      </c>
      <c r="P11">
        <v>1</v>
      </c>
    </row>
    <row r="12" spans="1:16" x14ac:dyDescent="0.3">
      <c r="A12" t="s">
        <v>65</v>
      </c>
      <c r="B12" t="s">
        <v>20</v>
      </c>
      <c r="C12" t="s">
        <v>20</v>
      </c>
      <c r="D12" t="s">
        <v>8</v>
      </c>
      <c r="E12" t="s">
        <v>73</v>
      </c>
      <c r="F12" t="s">
        <v>9</v>
      </c>
      <c r="G12" s="15">
        <v>79.05</v>
      </c>
      <c r="H12" t="s">
        <v>26</v>
      </c>
      <c r="I12">
        <v>2</v>
      </c>
      <c r="J12" t="s">
        <v>48</v>
      </c>
      <c r="K12" t="s">
        <v>45</v>
      </c>
      <c r="L12" t="s">
        <v>45</v>
      </c>
      <c r="M12" t="s">
        <v>67</v>
      </c>
      <c r="N12" s="15">
        <v>88.05</v>
      </c>
      <c r="O12" s="16">
        <v>-10.199999999999999</v>
      </c>
      <c r="P12">
        <v>0</v>
      </c>
    </row>
    <row r="13" spans="1:16" x14ac:dyDescent="0.3">
      <c r="A13" t="s">
        <v>60</v>
      </c>
      <c r="B13" t="s">
        <v>20</v>
      </c>
      <c r="C13" t="s">
        <v>20</v>
      </c>
      <c r="D13" t="s">
        <v>8</v>
      </c>
      <c r="E13" t="s">
        <v>74</v>
      </c>
      <c r="F13" t="s">
        <v>9</v>
      </c>
      <c r="G13" s="15">
        <v>79.36</v>
      </c>
      <c r="H13" t="s">
        <v>26</v>
      </c>
      <c r="I13">
        <v>2</v>
      </c>
      <c r="J13" t="s">
        <v>47</v>
      </c>
      <c r="K13" t="s">
        <v>45</v>
      </c>
      <c r="L13" t="s">
        <v>45</v>
      </c>
      <c r="M13" t="s">
        <v>72</v>
      </c>
      <c r="N13" s="15">
        <v>78.260000000000005</v>
      </c>
      <c r="O13" s="16">
        <v>1.4</v>
      </c>
      <c r="P13">
        <v>0</v>
      </c>
    </row>
    <row r="14" spans="1:16" x14ac:dyDescent="0.3">
      <c r="A14" t="s">
        <v>57</v>
      </c>
      <c r="B14" t="s">
        <v>18</v>
      </c>
      <c r="C14" t="s">
        <v>18</v>
      </c>
      <c r="D14" t="s">
        <v>8</v>
      </c>
      <c r="E14" t="s">
        <v>74</v>
      </c>
      <c r="F14" t="s">
        <v>9</v>
      </c>
      <c r="G14" s="15">
        <v>51.76</v>
      </c>
      <c r="H14" t="s">
        <v>26</v>
      </c>
      <c r="I14">
        <v>2</v>
      </c>
      <c r="J14" t="s">
        <v>47</v>
      </c>
      <c r="K14" t="s">
        <v>46</v>
      </c>
      <c r="L14" t="s">
        <v>45</v>
      </c>
      <c r="M14" t="s">
        <v>68</v>
      </c>
      <c r="N14" s="15">
        <v>83.41</v>
      </c>
      <c r="O14" s="16">
        <v>-37.9</v>
      </c>
      <c r="P14">
        <v>0</v>
      </c>
    </row>
    <row r="15" spans="1:16" x14ac:dyDescent="0.3">
      <c r="A15" t="s">
        <v>60</v>
      </c>
      <c r="B15" t="s">
        <v>17</v>
      </c>
      <c r="C15" t="s">
        <v>17</v>
      </c>
      <c r="D15" t="s">
        <v>15</v>
      </c>
      <c r="E15" t="s">
        <v>75</v>
      </c>
      <c r="F15" t="s">
        <v>9</v>
      </c>
      <c r="G15" s="15">
        <v>103.12</v>
      </c>
      <c r="H15" t="s">
        <v>26</v>
      </c>
      <c r="I15">
        <v>2</v>
      </c>
      <c r="J15" t="s">
        <v>48</v>
      </c>
      <c r="K15" t="s">
        <v>46</v>
      </c>
      <c r="L15" t="s">
        <v>45</v>
      </c>
      <c r="M15" t="s">
        <v>72</v>
      </c>
      <c r="N15" s="15">
        <v>119</v>
      </c>
      <c r="O15" s="16">
        <v>-13.3</v>
      </c>
      <c r="P15">
        <v>0</v>
      </c>
    </row>
    <row r="16" spans="1:16" x14ac:dyDescent="0.3">
      <c r="A16" t="s">
        <v>57</v>
      </c>
      <c r="B16" t="s">
        <v>22</v>
      </c>
      <c r="C16" t="s">
        <v>22</v>
      </c>
      <c r="D16" t="s">
        <v>8</v>
      </c>
      <c r="E16" t="s">
        <v>73</v>
      </c>
      <c r="F16" t="s">
        <v>9</v>
      </c>
      <c r="G16" s="15">
        <v>99.88</v>
      </c>
      <c r="H16" t="s">
        <v>25</v>
      </c>
      <c r="I16">
        <v>1</v>
      </c>
      <c r="J16" t="s">
        <v>48</v>
      </c>
      <c r="K16" t="s">
        <v>45</v>
      </c>
      <c r="L16" t="s">
        <v>46</v>
      </c>
      <c r="M16" t="s">
        <v>59</v>
      </c>
      <c r="N16" s="15">
        <v>86.06</v>
      </c>
      <c r="O16" s="16">
        <v>16.100000000000001</v>
      </c>
      <c r="P16">
        <v>1</v>
      </c>
    </row>
    <row r="17" spans="1:16" x14ac:dyDescent="0.3">
      <c r="A17" t="s">
        <v>57</v>
      </c>
      <c r="B17" t="s">
        <v>17</v>
      </c>
      <c r="C17" t="s">
        <v>17</v>
      </c>
      <c r="D17" t="s">
        <v>15</v>
      </c>
      <c r="E17" t="s">
        <v>76</v>
      </c>
      <c r="F17" t="s">
        <v>9</v>
      </c>
      <c r="G17" s="15">
        <v>123.89</v>
      </c>
      <c r="H17" t="s">
        <v>26</v>
      </c>
      <c r="I17">
        <v>2</v>
      </c>
      <c r="J17" t="s">
        <v>47</v>
      </c>
      <c r="K17" t="s">
        <v>46</v>
      </c>
      <c r="L17" t="s">
        <v>45</v>
      </c>
      <c r="M17" t="s">
        <v>64</v>
      </c>
      <c r="N17" s="15">
        <v>118.59</v>
      </c>
      <c r="O17" s="16">
        <v>4.5</v>
      </c>
      <c r="P17">
        <v>0</v>
      </c>
    </row>
    <row r="18" spans="1:16" x14ac:dyDescent="0.3">
      <c r="A18" t="s">
        <v>65</v>
      </c>
      <c r="B18" t="s">
        <v>21</v>
      </c>
      <c r="C18" t="s">
        <v>62</v>
      </c>
      <c r="D18" t="s">
        <v>14</v>
      </c>
      <c r="E18" t="s">
        <v>77</v>
      </c>
      <c r="F18" t="s">
        <v>9</v>
      </c>
      <c r="G18" s="15">
        <v>71.510000000000005</v>
      </c>
      <c r="H18" t="s">
        <v>25</v>
      </c>
      <c r="I18">
        <v>1</v>
      </c>
      <c r="J18" t="s">
        <v>47</v>
      </c>
      <c r="K18" t="s">
        <v>45</v>
      </c>
      <c r="L18" t="s">
        <v>46</v>
      </c>
      <c r="M18" t="s">
        <v>59</v>
      </c>
      <c r="N18" s="15">
        <v>70.66</v>
      </c>
      <c r="O18" s="16">
        <v>1.2</v>
      </c>
      <c r="P18">
        <v>0</v>
      </c>
    </row>
    <row r="19" spans="1:16" x14ac:dyDescent="0.3">
      <c r="A19" t="s">
        <v>60</v>
      </c>
      <c r="B19" t="s">
        <v>17</v>
      </c>
      <c r="C19" t="s">
        <v>17</v>
      </c>
      <c r="D19" t="s">
        <v>15</v>
      </c>
      <c r="E19" t="s">
        <v>76</v>
      </c>
      <c r="F19" t="s">
        <v>9</v>
      </c>
      <c r="G19" s="15">
        <v>130.88999999999999</v>
      </c>
      <c r="H19" t="s">
        <v>26</v>
      </c>
      <c r="I19">
        <v>2</v>
      </c>
      <c r="J19" t="s">
        <v>47</v>
      </c>
      <c r="K19" t="s">
        <v>45</v>
      </c>
      <c r="L19" t="s">
        <v>45</v>
      </c>
      <c r="M19" t="s">
        <v>72</v>
      </c>
      <c r="N19" s="15">
        <v>116.32</v>
      </c>
      <c r="O19" s="16">
        <v>12.5</v>
      </c>
      <c r="P19">
        <v>0</v>
      </c>
    </row>
    <row r="20" spans="1:16" x14ac:dyDescent="0.3">
      <c r="A20" t="s">
        <v>57</v>
      </c>
      <c r="B20" t="s">
        <v>19</v>
      </c>
      <c r="C20" t="s">
        <v>19</v>
      </c>
      <c r="D20" t="s">
        <v>8</v>
      </c>
      <c r="E20" t="s">
        <v>73</v>
      </c>
      <c r="F20" t="s">
        <v>9</v>
      </c>
      <c r="G20" s="15">
        <v>97.24</v>
      </c>
      <c r="H20" t="s">
        <v>26</v>
      </c>
      <c r="I20">
        <v>2</v>
      </c>
      <c r="J20" t="s">
        <v>48</v>
      </c>
      <c r="K20" t="s">
        <v>45</v>
      </c>
      <c r="L20" t="s">
        <v>45</v>
      </c>
      <c r="M20" t="s">
        <v>67</v>
      </c>
      <c r="N20" s="15">
        <v>86.06</v>
      </c>
      <c r="O20" s="16">
        <v>13</v>
      </c>
      <c r="P20">
        <v>0</v>
      </c>
    </row>
    <row r="21" spans="1:16" x14ac:dyDescent="0.3">
      <c r="A21" t="s">
        <v>57</v>
      </c>
      <c r="B21" t="s">
        <v>18</v>
      </c>
      <c r="C21" t="s">
        <v>18</v>
      </c>
      <c r="D21" t="s">
        <v>15</v>
      </c>
      <c r="E21" t="s">
        <v>75</v>
      </c>
      <c r="F21" t="s">
        <v>9</v>
      </c>
      <c r="G21" s="15">
        <v>103.36</v>
      </c>
      <c r="H21" t="s">
        <v>27</v>
      </c>
      <c r="I21">
        <v>3</v>
      </c>
      <c r="J21" t="s">
        <v>47</v>
      </c>
      <c r="K21" t="s">
        <v>45</v>
      </c>
      <c r="L21" t="s">
        <v>45</v>
      </c>
      <c r="M21" t="s">
        <v>59</v>
      </c>
      <c r="N21" s="15">
        <v>120.06</v>
      </c>
      <c r="O21" s="16">
        <v>-13.9</v>
      </c>
      <c r="P21">
        <v>0</v>
      </c>
    </row>
    <row r="22" spans="1:16" x14ac:dyDescent="0.3">
      <c r="A22" t="s">
        <v>65</v>
      </c>
      <c r="B22" t="s">
        <v>22</v>
      </c>
      <c r="C22" t="s">
        <v>22</v>
      </c>
      <c r="D22" t="s">
        <v>15</v>
      </c>
      <c r="E22" t="s">
        <v>75</v>
      </c>
      <c r="F22" t="s">
        <v>9</v>
      </c>
      <c r="G22" s="15">
        <v>107.4</v>
      </c>
      <c r="H22" t="s">
        <v>27</v>
      </c>
      <c r="I22">
        <v>3</v>
      </c>
      <c r="J22" t="s">
        <v>47</v>
      </c>
      <c r="K22" t="s">
        <v>46</v>
      </c>
      <c r="L22" t="s">
        <v>45</v>
      </c>
      <c r="M22" t="s">
        <v>64</v>
      </c>
      <c r="N22" s="15">
        <v>126.9</v>
      </c>
      <c r="O22" s="16">
        <v>-15.4</v>
      </c>
      <c r="P22">
        <v>0</v>
      </c>
    </row>
    <row r="23" spans="1:16" x14ac:dyDescent="0.3">
      <c r="A23" t="s">
        <v>60</v>
      </c>
      <c r="B23" t="s">
        <v>18</v>
      </c>
      <c r="C23" t="s">
        <v>18</v>
      </c>
      <c r="D23" t="s">
        <v>8</v>
      </c>
      <c r="E23" t="s">
        <v>73</v>
      </c>
      <c r="F23" t="s">
        <v>9</v>
      </c>
      <c r="G23" s="15">
        <v>86.57</v>
      </c>
      <c r="H23" t="s">
        <v>26</v>
      </c>
      <c r="I23">
        <v>2</v>
      </c>
      <c r="J23" t="s">
        <v>47</v>
      </c>
      <c r="K23" t="s">
        <v>46</v>
      </c>
      <c r="L23" t="s">
        <v>45</v>
      </c>
      <c r="M23" t="s">
        <v>64</v>
      </c>
      <c r="N23" s="15">
        <v>82.04</v>
      </c>
      <c r="O23" s="16">
        <v>5.5</v>
      </c>
      <c r="P23">
        <v>0</v>
      </c>
    </row>
    <row r="24" spans="1:16" x14ac:dyDescent="0.3">
      <c r="A24" t="s">
        <v>65</v>
      </c>
      <c r="B24" t="s">
        <v>18</v>
      </c>
      <c r="C24" t="s">
        <v>18</v>
      </c>
      <c r="D24" t="s">
        <v>15</v>
      </c>
      <c r="E24" t="s">
        <v>76</v>
      </c>
      <c r="F24" t="s">
        <v>9</v>
      </c>
      <c r="G24" s="15">
        <v>140</v>
      </c>
      <c r="H24" t="s">
        <v>26</v>
      </c>
      <c r="I24">
        <v>2</v>
      </c>
      <c r="J24" t="s">
        <v>47</v>
      </c>
      <c r="K24" t="s">
        <v>45</v>
      </c>
      <c r="L24" t="s">
        <v>46</v>
      </c>
      <c r="M24" t="s">
        <v>67</v>
      </c>
      <c r="N24" s="15">
        <v>126.51</v>
      </c>
      <c r="O24" s="16">
        <v>10.7</v>
      </c>
      <c r="P24">
        <v>0</v>
      </c>
    </row>
    <row r="25" spans="1:16" x14ac:dyDescent="0.3">
      <c r="A25" t="s">
        <v>57</v>
      </c>
      <c r="B25" t="s">
        <v>17</v>
      </c>
      <c r="C25" t="s">
        <v>17</v>
      </c>
      <c r="D25" t="s">
        <v>11</v>
      </c>
      <c r="E25" t="s">
        <v>70</v>
      </c>
      <c r="F25" t="s">
        <v>9</v>
      </c>
      <c r="G25" s="15">
        <v>35.659999999999997</v>
      </c>
      <c r="H25" t="s">
        <v>26</v>
      </c>
      <c r="I25">
        <v>2</v>
      </c>
      <c r="J25" t="s">
        <v>47</v>
      </c>
      <c r="K25" t="s">
        <v>45</v>
      </c>
      <c r="L25" t="s">
        <v>46</v>
      </c>
      <c r="M25" t="s">
        <v>72</v>
      </c>
      <c r="N25" s="15">
        <v>30.5</v>
      </c>
      <c r="O25" s="16">
        <v>16.899999999999999</v>
      </c>
      <c r="P25">
        <v>1</v>
      </c>
    </row>
    <row r="26" spans="1:16" x14ac:dyDescent="0.3">
      <c r="A26" t="s">
        <v>60</v>
      </c>
      <c r="B26" t="s">
        <v>21</v>
      </c>
      <c r="C26" t="s">
        <v>62</v>
      </c>
      <c r="D26" t="s">
        <v>14</v>
      </c>
      <c r="E26" t="s">
        <v>63</v>
      </c>
      <c r="F26" t="s">
        <v>9</v>
      </c>
      <c r="G26" s="15">
        <v>66.81</v>
      </c>
      <c r="H26" t="s">
        <v>26</v>
      </c>
      <c r="I26">
        <v>2</v>
      </c>
      <c r="J26" t="s">
        <v>48</v>
      </c>
      <c r="K26" t="s">
        <v>46</v>
      </c>
      <c r="L26" t="s">
        <v>46</v>
      </c>
      <c r="M26" t="s">
        <v>78</v>
      </c>
      <c r="N26" s="15">
        <v>66.680000000000007</v>
      </c>
      <c r="O26" s="16">
        <v>0.2</v>
      </c>
      <c r="P26">
        <v>0</v>
      </c>
    </row>
    <row r="27" spans="1:16" x14ac:dyDescent="0.3">
      <c r="A27" t="s">
        <v>60</v>
      </c>
      <c r="B27" t="s">
        <v>19</v>
      </c>
      <c r="C27" t="s">
        <v>19</v>
      </c>
      <c r="D27" t="s">
        <v>14</v>
      </c>
      <c r="E27" t="s">
        <v>63</v>
      </c>
      <c r="F27" t="s">
        <v>9</v>
      </c>
      <c r="G27" s="15">
        <v>70.650000000000006</v>
      </c>
      <c r="H27" t="s">
        <v>26</v>
      </c>
      <c r="I27">
        <v>2</v>
      </c>
      <c r="J27" t="s">
        <v>48</v>
      </c>
      <c r="K27" t="s">
        <v>45</v>
      </c>
      <c r="L27" t="s">
        <v>45</v>
      </c>
      <c r="M27" t="s">
        <v>59</v>
      </c>
      <c r="N27" s="15">
        <v>66.680000000000007</v>
      </c>
      <c r="O27" s="16">
        <v>6</v>
      </c>
      <c r="P27">
        <v>0</v>
      </c>
    </row>
    <row r="28" spans="1:16" x14ac:dyDescent="0.3">
      <c r="A28" t="s">
        <v>57</v>
      </c>
      <c r="B28" t="s">
        <v>21</v>
      </c>
      <c r="C28" t="s">
        <v>62</v>
      </c>
      <c r="D28" t="s">
        <v>11</v>
      </c>
      <c r="E28" t="s">
        <v>79</v>
      </c>
      <c r="F28" t="s">
        <v>9</v>
      </c>
      <c r="G28" s="15">
        <v>34.36</v>
      </c>
      <c r="H28" t="s">
        <v>26</v>
      </c>
      <c r="I28">
        <v>2</v>
      </c>
      <c r="J28" t="s">
        <v>48</v>
      </c>
      <c r="K28" t="s">
        <v>45</v>
      </c>
      <c r="L28" t="s">
        <v>46</v>
      </c>
      <c r="M28" t="s">
        <v>59</v>
      </c>
      <c r="N28" s="15">
        <v>30.93</v>
      </c>
      <c r="O28" s="16">
        <v>11.1</v>
      </c>
      <c r="P28">
        <v>0</v>
      </c>
    </row>
    <row r="29" spans="1:16" x14ac:dyDescent="0.3">
      <c r="A29" t="s">
        <v>65</v>
      </c>
      <c r="B29" t="s">
        <v>20</v>
      </c>
      <c r="C29" t="s">
        <v>20</v>
      </c>
      <c r="D29" t="s">
        <v>10</v>
      </c>
      <c r="E29" t="s">
        <v>58</v>
      </c>
      <c r="F29" t="s">
        <v>9</v>
      </c>
      <c r="G29" s="15">
        <v>165.4</v>
      </c>
      <c r="H29" t="s">
        <v>26</v>
      </c>
      <c r="I29">
        <v>2</v>
      </c>
      <c r="J29" t="s">
        <v>44</v>
      </c>
      <c r="K29" t="s">
        <v>45</v>
      </c>
      <c r="L29" t="s">
        <v>45</v>
      </c>
      <c r="M29" t="s">
        <v>61</v>
      </c>
      <c r="N29" s="15">
        <v>166.29</v>
      </c>
      <c r="O29" s="16">
        <v>-0.5</v>
      </c>
      <c r="P29">
        <v>0</v>
      </c>
    </row>
    <row r="30" spans="1:16" x14ac:dyDescent="0.3">
      <c r="A30" t="s">
        <v>57</v>
      </c>
      <c r="B30" t="s">
        <v>19</v>
      </c>
      <c r="C30" t="s">
        <v>19</v>
      </c>
      <c r="D30" t="s">
        <v>10</v>
      </c>
      <c r="E30" t="s">
        <v>69</v>
      </c>
      <c r="F30" t="s">
        <v>9</v>
      </c>
      <c r="G30" s="15">
        <v>168.14</v>
      </c>
      <c r="H30" t="s">
        <v>26</v>
      </c>
      <c r="I30">
        <v>2</v>
      </c>
      <c r="J30" t="s">
        <v>48</v>
      </c>
      <c r="K30" t="s">
        <v>46</v>
      </c>
      <c r="L30" t="s">
        <v>46</v>
      </c>
      <c r="M30" t="s">
        <v>68</v>
      </c>
      <c r="N30" s="15">
        <v>150.38999999999999</v>
      </c>
      <c r="O30" s="16">
        <v>11.8</v>
      </c>
      <c r="P30">
        <v>0</v>
      </c>
    </row>
    <row r="31" spans="1:16" x14ac:dyDescent="0.3">
      <c r="A31" t="s">
        <v>57</v>
      </c>
      <c r="B31" t="s">
        <v>20</v>
      </c>
      <c r="C31" t="s">
        <v>20</v>
      </c>
      <c r="D31" t="s">
        <v>12</v>
      </c>
      <c r="E31" t="s">
        <v>80</v>
      </c>
      <c r="F31" t="s">
        <v>13</v>
      </c>
      <c r="G31" s="15">
        <v>155.56</v>
      </c>
      <c r="H31" t="s">
        <v>26</v>
      </c>
      <c r="I31">
        <v>2</v>
      </c>
      <c r="J31" t="s">
        <v>47</v>
      </c>
      <c r="K31" t="s">
        <v>46</v>
      </c>
      <c r="L31" t="s">
        <v>45</v>
      </c>
      <c r="M31" t="s">
        <v>61</v>
      </c>
      <c r="N31" s="15">
        <v>162.72999999999999</v>
      </c>
      <c r="O31" s="16">
        <v>-4.4000000000000004</v>
      </c>
      <c r="P31">
        <v>0</v>
      </c>
    </row>
    <row r="32" spans="1:16" x14ac:dyDescent="0.3">
      <c r="A32" t="s">
        <v>57</v>
      </c>
      <c r="B32" t="s">
        <v>20</v>
      </c>
      <c r="C32" t="s">
        <v>20</v>
      </c>
      <c r="D32" t="s">
        <v>15</v>
      </c>
      <c r="E32" t="s">
        <v>76</v>
      </c>
      <c r="F32" t="s">
        <v>9</v>
      </c>
      <c r="G32" s="15">
        <v>140</v>
      </c>
      <c r="H32" t="s">
        <v>25</v>
      </c>
      <c r="I32">
        <v>1</v>
      </c>
      <c r="J32" t="s">
        <v>48</v>
      </c>
      <c r="K32" t="s">
        <v>45</v>
      </c>
      <c r="L32" t="s">
        <v>45</v>
      </c>
      <c r="M32" t="s">
        <v>68</v>
      </c>
      <c r="N32" s="15">
        <v>118.59</v>
      </c>
      <c r="O32" s="16">
        <v>18.100000000000001</v>
      </c>
      <c r="P32">
        <v>1</v>
      </c>
    </row>
    <row r="33" spans="1:16" x14ac:dyDescent="0.3">
      <c r="A33" t="s">
        <v>60</v>
      </c>
      <c r="B33" t="s">
        <v>21</v>
      </c>
      <c r="C33" t="s">
        <v>62</v>
      </c>
      <c r="D33" t="s">
        <v>14</v>
      </c>
      <c r="E33" t="s">
        <v>71</v>
      </c>
      <c r="F33" t="s">
        <v>9</v>
      </c>
      <c r="G33" s="15">
        <v>61.02</v>
      </c>
      <c r="H33" t="s">
        <v>26</v>
      </c>
      <c r="I33">
        <v>2</v>
      </c>
      <c r="J33" t="s">
        <v>48</v>
      </c>
      <c r="K33" t="s">
        <v>46</v>
      </c>
      <c r="L33" t="s">
        <v>46</v>
      </c>
      <c r="M33" t="s">
        <v>72</v>
      </c>
      <c r="N33" s="15">
        <v>65.239999999999995</v>
      </c>
      <c r="O33" s="16">
        <v>-6.5</v>
      </c>
      <c r="P33">
        <v>0</v>
      </c>
    </row>
    <row r="34" spans="1:16" x14ac:dyDescent="0.3">
      <c r="A34" t="s">
        <v>65</v>
      </c>
      <c r="B34" t="s">
        <v>21</v>
      </c>
      <c r="C34" t="s">
        <v>62</v>
      </c>
      <c r="D34" t="s">
        <v>11</v>
      </c>
      <c r="E34" t="s">
        <v>70</v>
      </c>
      <c r="F34" t="s">
        <v>9</v>
      </c>
      <c r="G34" s="15">
        <v>38.36</v>
      </c>
      <c r="H34" t="s">
        <v>25</v>
      </c>
      <c r="I34">
        <v>1</v>
      </c>
      <c r="J34" t="s">
        <v>47</v>
      </c>
      <c r="K34" t="s">
        <v>45</v>
      </c>
      <c r="L34" t="s">
        <v>45</v>
      </c>
      <c r="M34" t="s">
        <v>78</v>
      </c>
      <c r="N34" s="15">
        <v>32.630000000000003</v>
      </c>
      <c r="O34" s="16">
        <v>17.600000000000001</v>
      </c>
      <c r="P34">
        <v>1</v>
      </c>
    </row>
    <row r="35" spans="1:16" x14ac:dyDescent="0.3">
      <c r="A35" t="s">
        <v>60</v>
      </c>
      <c r="B35" t="s">
        <v>21</v>
      </c>
      <c r="C35" t="s">
        <v>62</v>
      </c>
      <c r="D35" t="s">
        <v>11</v>
      </c>
      <c r="E35" t="s">
        <v>79</v>
      </c>
      <c r="F35" t="s">
        <v>9</v>
      </c>
      <c r="G35" s="15">
        <v>28.26</v>
      </c>
      <c r="H35" t="s">
        <v>26</v>
      </c>
      <c r="I35">
        <v>2</v>
      </c>
      <c r="J35" t="s">
        <v>48</v>
      </c>
      <c r="K35" t="s">
        <v>46</v>
      </c>
      <c r="L35" t="s">
        <v>45</v>
      </c>
      <c r="M35" t="s">
        <v>67</v>
      </c>
      <c r="N35" s="15">
        <v>29.14</v>
      </c>
      <c r="O35" s="16">
        <v>-3</v>
      </c>
      <c r="P35">
        <v>0</v>
      </c>
    </row>
    <row r="36" spans="1:16" x14ac:dyDescent="0.3">
      <c r="A36" t="s">
        <v>57</v>
      </c>
      <c r="B36" t="s">
        <v>21</v>
      </c>
      <c r="C36" t="s">
        <v>62</v>
      </c>
      <c r="D36" t="s">
        <v>11</v>
      </c>
      <c r="E36" t="s">
        <v>70</v>
      </c>
      <c r="F36" t="s">
        <v>9</v>
      </c>
      <c r="G36" s="15">
        <v>25.26</v>
      </c>
      <c r="H36" t="s">
        <v>27</v>
      </c>
      <c r="I36">
        <v>3</v>
      </c>
      <c r="J36" t="s">
        <v>48</v>
      </c>
      <c r="K36" t="s">
        <v>46</v>
      </c>
      <c r="L36" t="s">
        <v>45</v>
      </c>
      <c r="M36" t="s">
        <v>64</v>
      </c>
      <c r="N36" s="15">
        <v>30.5</v>
      </c>
      <c r="O36" s="16">
        <v>-17.2</v>
      </c>
      <c r="P36">
        <v>0</v>
      </c>
    </row>
    <row r="37" spans="1:16" x14ac:dyDescent="0.3">
      <c r="A37" t="s">
        <v>57</v>
      </c>
      <c r="B37" t="s">
        <v>21</v>
      </c>
      <c r="C37" t="s">
        <v>62</v>
      </c>
      <c r="D37" t="s">
        <v>11</v>
      </c>
      <c r="E37" t="s">
        <v>79</v>
      </c>
      <c r="F37" t="s">
        <v>9</v>
      </c>
      <c r="G37" s="15">
        <v>26.65</v>
      </c>
      <c r="H37" t="s">
        <v>27</v>
      </c>
      <c r="I37">
        <v>3</v>
      </c>
      <c r="J37" t="s">
        <v>48</v>
      </c>
      <c r="K37" t="s">
        <v>46</v>
      </c>
      <c r="L37" t="s">
        <v>46</v>
      </c>
      <c r="M37" t="s">
        <v>59</v>
      </c>
      <c r="N37" s="15">
        <v>30.93</v>
      </c>
      <c r="O37" s="16">
        <v>-13.8</v>
      </c>
      <c r="P37">
        <v>0</v>
      </c>
    </row>
    <row r="38" spans="1:16" x14ac:dyDescent="0.3">
      <c r="A38" t="s">
        <v>65</v>
      </c>
      <c r="B38" t="s">
        <v>21</v>
      </c>
      <c r="C38" t="s">
        <v>62</v>
      </c>
      <c r="D38" t="s">
        <v>12</v>
      </c>
      <c r="E38" t="s">
        <v>66</v>
      </c>
      <c r="F38" t="s">
        <v>13</v>
      </c>
      <c r="G38" s="15">
        <v>166.75</v>
      </c>
      <c r="H38" t="s">
        <v>26</v>
      </c>
      <c r="I38">
        <v>2</v>
      </c>
      <c r="J38" t="s">
        <v>47</v>
      </c>
      <c r="K38" t="s">
        <v>46</v>
      </c>
      <c r="L38" t="s">
        <v>45</v>
      </c>
      <c r="M38" t="s">
        <v>61</v>
      </c>
      <c r="N38" s="15">
        <v>178.49</v>
      </c>
      <c r="O38" s="16">
        <v>-6.6</v>
      </c>
      <c r="P38">
        <v>0</v>
      </c>
    </row>
    <row r="39" spans="1:16" x14ac:dyDescent="0.3">
      <c r="A39" t="s">
        <v>60</v>
      </c>
      <c r="B39" t="s">
        <v>22</v>
      </c>
      <c r="C39" t="s">
        <v>22</v>
      </c>
      <c r="D39" t="s">
        <v>8</v>
      </c>
      <c r="E39" t="s">
        <v>74</v>
      </c>
      <c r="F39" t="s">
        <v>9</v>
      </c>
      <c r="G39" s="15">
        <v>106.92</v>
      </c>
      <c r="H39" t="s">
        <v>27</v>
      </c>
      <c r="I39">
        <v>3</v>
      </c>
      <c r="J39" t="s">
        <v>47</v>
      </c>
      <c r="K39" t="s">
        <v>45</v>
      </c>
      <c r="L39" t="s">
        <v>45</v>
      </c>
      <c r="M39" t="s">
        <v>78</v>
      </c>
      <c r="N39" s="15">
        <v>78.260000000000005</v>
      </c>
      <c r="O39" s="16">
        <v>36.6</v>
      </c>
      <c r="P39">
        <v>1</v>
      </c>
    </row>
    <row r="40" spans="1:16" x14ac:dyDescent="0.3">
      <c r="A40" t="s">
        <v>60</v>
      </c>
      <c r="B40" t="s">
        <v>21</v>
      </c>
      <c r="C40" t="s">
        <v>62</v>
      </c>
      <c r="D40" t="s">
        <v>12</v>
      </c>
      <c r="E40" t="s">
        <v>66</v>
      </c>
      <c r="F40" t="s">
        <v>13</v>
      </c>
      <c r="G40" s="15">
        <v>156.65</v>
      </c>
      <c r="H40" t="s">
        <v>26</v>
      </c>
      <c r="I40">
        <v>2</v>
      </c>
      <c r="J40" t="s">
        <v>48</v>
      </c>
      <c r="K40" t="s">
        <v>45</v>
      </c>
      <c r="L40" t="s">
        <v>45</v>
      </c>
      <c r="M40" t="s">
        <v>78</v>
      </c>
      <c r="N40" s="15">
        <v>168.34</v>
      </c>
      <c r="O40" s="16">
        <v>-6.9</v>
      </c>
      <c r="P40">
        <v>0</v>
      </c>
    </row>
    <row r="41" spans="1:16" x14ac:dyDescent="0.3">
      <c r="A41" t="s">
        <v>65</v>
      </c>
      <c r="B41" t="s">
        <v>21</v>
      </c>
      <c r="C41" t="s">
        <v>62</v>
      </c>
      <c r="D41" t="s">
        <v>15</v>
      </c>
      <c r="E41" t="s">
        <v>75</v>
      </c>
      <c r="F41" t="s">
        <v>9</v>
      </c>
      <c r="G41" s="15">
        <v>126.27</v>
      </c>
      <c r="H41" t="s">
        <v>25</v>
      </c>
      <c r="I41">
        <v>1</v>
      </c>
      <c r="J41" t="s">
        <v>47</v>
      </c>
      <c r="K41" t="s">
        <v>45</v>
      </c>
      <c r="L41" t="s">
        <v>45</v>
      </c>
      <c r="M41" t="s">
        <v>67</v>
      </c>
      <c r="N41" s="15">
        <v>126.9</v>
      </c>
      <c r="O41" s="16">
        <v>-0.5</v>
      </c>
      <c r="P41">
        <v>0</v>
      </c>
    </row>
    <row r="42" spans="1:16" x14ac:dyDescent="0.3">
      <c r="A42" t="s">
        <v>60</v>
      </c>
      <c r="B42" t="s">
        <v>22</v>
      </c>
      <c r="C42" t="s">
        <v>22</v>
      </c>
      <c r="D42" t="s">
        <v>14</v>
      </c>
      <c r="E42" t="s">
        <v>77</v>
      </c>
      <c r="F42" t="s">
        <v>9</v>
      </c>
      <c r="G42" s="15">
        <v>50</v>
      </c>
      <c r="H42" t="s">
        <v>27</v>
      </c>
      <c r="I42">
        <v>3</v>
      </c>
      <c r="J42" t="s">
        <v>48</v>
      </c>
      <c r="K42" t="s">
        <v>46</v>
      </c>
      <c r="L42" t="s">
        <v>45</v>
      </c>
      <c r="M42" t="s">
        <v>68</v>
      </c>
      <c r="N42" s="15">
        <v>67.13</v>
      </c>
      <c r="O42" s="16">
        <v>-25.5</v>
      </c>
      <c r="P42">
        <v>0</v>
      </c>
    </row>
    <row r="43" spans="1:16" x14ac:dyDescent="0.3">
      <c r="A43" t="s">
        <v>65</v>
      </c>
      <c r="B43" t="s">
        <v>21</v>
      </c>
      <c r="C43" t="s">
        <v>62</v>
      </c>
      <c r="D43" t="s">
        <v>10</v>
      </c>
      <c r="E43" t="s">
        <v>58</v>
      </c>
      <c r="F43" t="s">
        <v>9</v>
      </c>
      <c r="G43" s="15">
        <v>192.15</v>
      </c>
      <c r="H43" t="s">
        <v>26</v>
      </c>
      <c r="I43">
        <v>2</v>
      </c>
      <c r="J43" t="s">
        <v>47</v>
      </c>
      <c r="K43" t="s">
        <v>46</v>
      </c>
      <c r="L43" t="s">
        <v>46</v>
      </c>
      <c r="M43" t="s">
        <v>64</v>
      </c>
      <c r="N43" s="15">
        <v>166.29</v>
      </c>
      <c r="O43" s="16">
        <v>15.6</v>
      </c>
      <c r="P43">
        <v>1</v>
      </c>
    </row>
    <row r="44" spans="1:16" x14ac:dyDescent="0.3">
      <c r="A44" t="s">
        <v>60</v>
      </c>
      <c r="B44" t="s">
        <v>20</v>
      </c>
      <c r="C44" t="s">
        <v>20</v>
      </c>
      <c r="D44" t="s">
        <v>14</v>
      </c>
      <c r="E44" t="s">
        <v>63</v>
      </c>
      <c r="F44" t="s">
        <v>9</v>
      </c>
      <c r="G44" s="15">
        <v>68.75</v>
      </c>
      <c r="H44" t="s">
        <v>26</v>
      </c>
      <c r="I44">
        <v>2</v>
      </c>
      <c r="J44" t="s">
        <v>48</v>
      </c>
      <c r="K44" t="s">
        <v>45</v>
      </c>
      <c r="L44" t="s">
        <v>45</v>
      </c>
      <c r="M44" t="s">
        <v>72</v>
      </c>
      <c r="N44" s="15">
        <v>66.680000000000007</v>
      </c>
      <c r="O44" s="16">
        <v>3.1</v>
      </c>
      <c r="P44">
        <v>0</v>
      </c>
    </row>
    <row r="45" spans="1:16" x14ac:dyDescent="0.3">
      <c r="A45" t="s">
        <v>60</v>
      </c>
      <c r="B45" t="s">
        <v>20</v>
      </c>
      <c r="C45" t="s">
        <v>20</v>
      </c>
      <c r="D45" t="s">
        <v>14</v>
      </c>
      <c r="E45" t="s">
        <v>63</v>
      </c>
      <c r="F45" t="s">
        <v>9</v>
      </c>
      <c r="G45" s="15">
        <v>60.42</v>
      </c>
      <c r="H45" t="s">
        <v>26</v>
      </c>
      <c r="I45">
        <v>2</v>
      </c>
      <c r="J45" t="s">
        <v>48</v>
      </c>
      <c r="K45" t="s">
        <v>46</v>
      </c>
      <c r="L45" t="s">
        <v>45</v>
      </c>
      <c r="M45" t="s">
        <v>67</v>
      </c>
      <c r="N45" s="15">
        <v>66.680000000000007</v>
      </c>
      <c r="O45" s="16">
        <v>-9.4</v>
      </c>
      <c r="P45">
        <v>0</v>
      </c>
    </row>
    <row r="46" spans="1:16" x14ac:dyDescent="0.3">
      <c r="A46" t="s">
        <v>65</v>
      </c>
      <c r="B46" t="s">
        <v>19</v>
      </c>
      <c r="C46" t="s">
        <v>19</v>
      </c>
      <c r="D46" t="s">
        <v>11</v>
      </c>
      <c r="E46" t="s">
        <v>70</v>
      </c>
      <c r="F46" t="s">
        <v>9</v>
      </c>
      <c r="G46" s="15">
        <v>30.43</v>
      </c>
      <c r="H46" t="s">
        <v>27</v>
      </c>
      <c r="I46">
        <v>3</v>
      </c>
      <c r="J46" t="s">
        <v>47</v>
      </c>
      <c r="K46" t="s">
        <v>45</v>
      </c>
      <c r="L46" t="s">
        <v>45</v>
      </c>
      <c r="M46" t="s">
        <v>64</v>
      </c>
      <c r="N46" s="15">
        <v>32.630000000000003</v>
      </c>
      <c r="O46" s="16">
        <v>-6.7</v>
      </c>
      <c r="P46">
        <v>0</v>
      </c>
    </row>
    <row r="47" spans="1:16" x14ac:dyDescent="0.3">
      <c r="A47" t="s">
        <v>60</v>
      </c>
      <c r="B47" t="s">
        <v>20</v>
      </c>
      <c r="C47" t="s">
        <v>20</v>
      </c>
      <c r="D47" t="s">
        <v>15</v>
      </c>
      <c r="E47" t="s">
        <v>75</v>
      </c>
      <c r="F47" t="s">
        <v>9</v>
      </c>
      <c r="G47" s="15">
        <v>132.9</v>
      </c>
      <c r="H47" t="s">
        <v>26</v>
      </c>
      <c r="I47">
        <v>2</v>
      </c>
      <c r="J47" t="s">
        <v>48</v>
      </c>
      <c r="K47" t="s">
        <v>45</v>
      </c>
      <c r="L47" t="s">
        <v>46</v>
      </c>
      <c r="M47" t="s">
        <v>67</v>
      </c>
      <c r="N47" s="15">
        <v>119</v>
      </c>
      <c r="O47" s="16">
        <v>11.7</v>
      </c>
      <c r="P47">
        <v>0</v>
      </c>
    </row>
    <row r="48" spans="1:16" x14ac:dyDescent="0.3">
      <c r="A48" t="s">
        <v>57</v>
      </c>
      <c r="B48" t="s">
        <v>22</v>
      </c>
      <c r="C48" t="s">
        <v>22</v>
      </c>
      <c r="D48" t="s">
        <v>8</v>
      </c>
      <c r="E48" t="s">
        <v>74</v>
      </c>
      <c r="F48" t="s">
        <v>9</v>
      </c>
      <c r="G48" s="15">
        <v>62.9</v>
      </c>
      <c r="H48" t="s">
        <v>27</v>
      </c>
      <c r="I48">
        <v>3</v>
      </c>
      <c r="J48" t="s">
        <v>47</v>
      </c>
      <c r="K48" t="s">
        <v>45</v>
      </c>
      <c r="L48" t="s">
        <v>45</v>
      </c>
      <c r="M48" t="s">
        <v>61</v>
      </c>
      <c r="N48" s="15">
        <v>83.41</v>
      </c>
      <c r="O48" s="16">
        <v>-24.6</v>
      </c>
      <c r="P48">
        <v>0</v>
      </c>
    </row>
    <row r="49" spans="1:16" x14ac:dyDescent="0.3">
      <c r="A49" t="s">
        <v>57</v>
      </c>
      <c r="B49" t="s">
        <v>18</v>
      </c>
      <c r="C49" t="s">
        <v>18</v>
      </c>
      <c r="D49" t="s">
        <v>12</v>
      </c>
      <c r="E49" t="s">
        <v>80</v>
      </c>
      <c r="F49" t="s">
        <v>13</v>
      </c>
      <c r="G49" s="15">
        <v>183.98</v>
      </c>
      <c r="H49" t="s">
        <v>26</v>
      </c>
      <c r="I49">
        <v>2</v>
      </c>
      <c r="J49" t="s">
        <v>48</v>
      </c>
      <c r="K49" t="s">
        <v>45</v>
      </c>
      <c r="L49" t="s">
        <v>45</v>
      </c>
      <c r="M49" t="s">
        <v>68</v>
      </c>
      <c r="N49" s="15">
        <v>162.72999999999999</v>
      </c>
      <c r="O49" s="16">
        <v>13.1</v>
      </c>
      <c r="P49">
        <v>0</v>
      </c>
    </row>
    <row r="50" spans="1:16" x14ac:dyDescent="0.3">
      <c r="A50" t="s">
        <v>57</v>
      </c>
      <c r="B50" t="s">
        <v>18</v>
      </c>
      <c r="C50" t="s">
        <v>18</v>
      </c>
      <c r="D50" t="s">
        <v>15</v>
      </c>
      <c r="E50" t="s">
        <v>76</v>
      </c>
      <c r="F50" t="s">
        <v>9</v>
      </c>
      <c r="G50" s="15">
        <v>112.23</v>
      </c>
      <c r="H50" t="s">
        <v>26</v>
      </c>
      <c r="I50">
        <v>2</v>
      </c>
      <c r="J50" t="s">
        <v>48</v>
      </c>
      <c r="K50" t="s">
        <v>45</v>
      </c>
      <c r="L50" t="s">
        <v>45</v>
      </c>
      <c r="M50" t="s">
        <v>72</v>
      </c>
      <c r="N50" s="15">
        <v>118.59</v>
      </c>
      <c r="O50" s="16">
        <v>-5.4</v>
      </c>
      <c r="P50">
        <v>0</v>
      </c>
    </row>
    <row r="51" spans="1:16" x14ac:dyDescent="0.3">
      <c r="A51" t="s">
        <v>65</v>
      </c>
      <c r="B51" t="s">
        <v>22</v>
      </c>
      <c r="C51" t="s">
        <v>22</v>
      </c>
      <c r="D51" t="s">
        <v>11</v>
      </c>
      <c r="E51" t="s">
        <v>70</v>
      </c>
      <c r="F51" t="s">
        <v>9</v>
      </c>
      <c r="G51" s="15">
        <v>37.229999999999997</v>
      </c>
      <c r="H51" t="s">
        <v>25</v>
      </c>
      <c r="I51">
        <v>1</v>
      </c>
      <c r="J51" t="s">
        <v>47</v>
      </c>
      <c r="K51" t="s">
        <v>45</v>
      </c>
      <c r="L51" t="s">
        <v>45</v>
      </c>
      <c r="M51" t="s">
        <v>68</v>
      </c>
      <c r="N51" s="15">
        <v>32.630000000000003</v>
      </c>
      <c r="O51" s="16">
        <v>14.1</v>
      </c>
      <c r="P51">
        <v>0</v>
      </c>
    </row>
    <row r="52" spans="1:16" x14ac:dyDescent="0.3">
      <c r="A52" t="s">
        <v>65</v>
      </c>
      <c r="B52" t="s">
        <v>21</v>
      </c>
      <c r="C52" t="s">
        <v>62</v>
      </c>
      <c r="D52" t="s">
        <v>14</v>
      </c>
      <c r="E52" t="s">
        <v>71</v>
      </c>
      <c r="F52" t="s">
        <v>9</v>
      </c>
      <c r="G52" s="15">
        <v>69.709999999999994</v>
      </c>
      <c r="H52" t="s">
        <v>27</v>
      </c>
      <c r="I52">
        <v>3</v>
      </c>
      <c r="J52" t="s">
        <v>48</v>
      </c>
      <c r="K52" t="s">
        <v>45</v>
      </c>
      <c r="L52" t="s">
        <v>45</v>
      </c>
      <c r="M52" t="s">
        <v>72</v>
      </c>
      <c r="N52" s="15">
        <v>71.77</v>
      </c>
      <c r="O52" s="16">
        <v>-2.9</v>
      </c>
      <c r="P52">
        <v>0</v>
      </c>
    </row>
    <row r="53" spans="1:16" x14ac:dyDescent="0.3">
      <c r="A53" t="s">
        <v>60</v>
      </c>
      <c r="B53" t="s">
        <v>17</v>
      </c>
      <c r="C53" t="s">
        <v>17</v>
      </c>
      <c r="D53" t="s">
        <v>12</v>
      </c>
      <c r="E53" t="s">
        <v>66</v>
      </c>
      <c r="F53" t="s">
        <v>13</v>
      </c>
      <c r="G53" s="15">
        <v>169.51</v>
      </c>
      <c r="H53" t="s">
        <v>27</v>
      </c>
      <c r="I53">
        <v>3</v>
      </c>
      <c r="J53" t="s">
        <v>47</v>
      </c>
      <c r="K53" t="s">
        <v>45</v>
      </c>
      <c r="L53" t="s">
        <v>45</v>
      </c>
      <c r="M53" t="s">
        <v>61</v>
      </c>
      <c r="N53" s="15">
        <v>168.34</v>
      </c>
      <c r="O53" s="16">
        <v>0.7</v>
      </c>
      <c r="P53">
        <v>0</v>
      </c>
    </row>
    <row r="54" spans="1:16" x14ac:dyDescent="0.3">
      <c r="A54" t="s">
        <v>57</v>
      </c>
      <c r="B54" t="s">
        <v>21</v>
      </c>
      <c r="C54" t="s">
        <v>62</v>
      </c>
      <c r="D54" t="s">
        <v>10</v>
      </c>
      <c r="E54" t="s">
        <v>58</v>
      </c>
      <c r="F54" t="s">
        <v>9</v>
      </c>
      <c r="G54" s="15">
        <v>166.33</v>
      </c>
      <c r="H54" t="s">
        <v>25</v>
      </c>
      <c r="I54">
        <v>1</v>
      </c>
      <c r="J54" t="s">
        <v>47</v>
      </c>
      <c r="K54" t="s">
        <v>45</v>
      </c>
      <c r="L54" t="s">
        <v>46</v>
      </c>
      <c r="M54" t="s">
        <v>68</v>
      </c>
      <c r="N54" s="15">
        <v>151.19</v>
      </c>
      <c r="O54" s="16">
        <v>10</v>
      </c>
      <c r="P54">
        <v>0</v>
      </c>
    </row>
    <row r="55" spans="1:16" x14ac:dyDescent="0.3">
      <c r="A55" t="s">
        <v>57</v>
      </c>
      <c r="B55" t="s">
        <v>20</v>
      </c>
      <c r="C55" t="s">
        <v>20</v>
      </c>
      <c r="D55" t="s">
        <v>11</v>
      </c>
      <c r="E55" t="s">
        <v>79</v>
      </c>
      <c r="F55" t="s">
        <v>9</v>
      </c>
      <c r="G55" s="15">
        <v>31.24</v>
      </c>
      <c r="H55" t="s">
        <v>26</v>
      </c>
      <c r="I55">
        <v>2</v>
      </c>
      <c r="J55" t="s">
        <v>44</v>
      </c>
      <c r="K55" t="s">
        <v>46</v>
      </c>
      <c r="L55" t="s">
        <v>45</v>
      </c>
      <c r="M55" t="s">
        <v>67</v>
      </c>
      <c r="N55" s="15">
        <v>30.93</v>
      </c>
      <c r="O55" s="16">
        <v>1</v>
      </c>
      <c r="P55">
        <v>0</v>
      </c>
    </row>
    <row r="56" spans="1:16" x14ac:dyDescent="0.3">
      <c r="A56" t="s">
        <v>57</v>
      </c>
      <c r="B56" t="s">
        <v>19</v>
      </c>
      <c r="C56" t="s">
        <v>19</v>
      </c>
      <c r="D56" t="s">
        <v>11</v>
      </c>
      <c r="E56" t="s">
        <v>70</v>
      </c>
      <c r="F56" t="s">
        <v>9</v>
      </c>
      <c r="G56" s="15">
        <v>25.38</v>
      </c>
      <c r="H56" t="s">
        <v>27</v>
      </c>
      <c r="I56">
        <v>3</v>
      </c>
      <c r="J56" t="s">
        <v>48</v>
      </c>
      <c r="K56" t="s">
        <v>46</v>
      </c>
      <c r="L56" t="s">
        <v>45</v>
      </c>
      <c r="M56" t="s">
        <v>68</v>
      </c>
      <c r="N56" s="15">
        <v>30.5</v>
      </c>
      <c r="O56" s="16">
        <v>-16.8</v>
      </c>
      <c r="P56">
        <v>0</v>
      </c>
    </row>
    <row r="57" spans="1:16" x14ac:dyDescent="0.3">
      <c r="A57" t="s">
        <v>60</v>
      </c>
      <c r="B57" t="s">
        <v>20</v>
      </c>
      <c r="C57" t="s">
        <v>20</v>
      </c>
      <c r="D57" t="s">
        <v>10</v>
      </c>
      <c r="E57" t="s">
        <v>58</v>
      </c>
      <c r="F57" t="s">
        <v>9</v>
      </c>
      <c r="G57" s="15">
        <v>195.27</v>
      </c>
      <c r="H57" t="s">
        <v>25</v>
      </c>
      <c r="I57">
        <v>1</v>
      </c>
      <c r="J57" t="s">
        <v>47</v>
      </c>
      <c r="K57" t="s">
        <v>45</v>
      </c>
      <c r="L57" t="s">
        <v>45</v>
      </c>
      <c r="M57" t="s">
        <v>68</v>
      </c>
      <c r="N57" s="15">
        <v>152.03</v>
      </c>
      <c r="O57" s="16">
        <v>28.4</v>
      </c>
      <c r="P57">
        <v>1</v>
      </c>
    </row>
    <row r="58" spans="1:16" x14ac:dyDescent="0.3">
      <c r="A58" t="s">
        <v>60</v>
      </c>
      <c r="B58" t="s">
        <v>21</v>
      </c>
      <c r="C58" t="s">
        <v>62</v>
      </c>
      <c r="D58" t="s">
        <v>15</v>
      </c>
      <c r="E58" t="s">
        <v>76</v>
      </c>
      <c r="F58" t="s">
        <v>9</v>
      </c>
      <c r="G58" s="15">
        <v>105.79</v>
      </c>
      <c r="H58" t="s">
        <v>27</v>
      </c>
      <c r="I58">
        <v>3</v>
      </c>
      <c r="J58" t="s">
        <v>48</v>
      </c>
      <c r="K58" t="s">
        <v>46</v>
      </c>
      <c r="L58" t="s">
        <v>46</v>
      </c>
      <c r="M58" t="s">
        <v>67</v>
      </c>
      <c r="N58" s="15">
        <v>116.32</v>
      </c>
      <c r="O58" s="16">
        <v>-9.1</v>
      </c>
      <c r="P58">
        <v>0</v>
      </c>
    </row>
    <row r="59" spans="1:16" x14ac:dyDescent="0.3">
      <c r="A59" t="s">
        <v>57</v>
      </c>
      <c r="B59" t="s">
        <v>19</v>
      </c>
      <c r="C59" t="s">
        <v>19</v>
      </c>
      <c r="D59" t="s">
        <v>15</v>
      </c>
      <c r="E59" t="s">
        <v>76</v>
      </c>
      <c r="F59" t="s">
        <v>9</v>
      </c>
      <c r="G59" s="15">
        <v>115.58</v>
      </c>
      <c r="H59" t="s">
        <v>26</v>
      </c>
      <c r="I59">
        <v>2</v>
      </c>
      <c r="J59" t="s">
        <v>48</v>
      </c>
      <c r="K59" t="s">
        <v>45</v>
      </c>
      <c r="L59" t="s">
        <v>45</v>
      </c>
      <c r="M59" t="s">
        <v>59</v>
      </c>
      <c r="N59" s="15">
        <v>118.59</v>
      </c>
      <c r="O59" s="16">
        <v>-2.5</v>
      </c>
      <c r="P59">
        <v>0</v>
      </c>
    </row>
    <row r="60" spans="1:16" x14ac:dyDescent="0.3">
      <c r="A60" t="s">
        <v>60</v>
      </c>
      <c r="B60" t="s">
        <v>19</v>
      </c>
      <c r="C60" t="s">
        <v>19</v>
      </c>
      <c r="D60" t="s">
        <v>14</v>
      </c>
      <c r="E60" t="s">
        <v>71</v>
      </c>
      <c r="F60" t="s">
        <v>9</v>
      </c>
      <c r="G60" s="15">
        <v>58.84</v>
      </c>
      <c r="H60" t="s">
        <v>26</v>
      </c>
      <c r="I60">
        <v>2</v>
      </c>
      <c r="J60" t="s">
        <v>48</v>
      </c>
      <c r="K60" t="s">
        <v>46</v>
      </c>
      <c r="L60" t="s">
        <v>45</v>
      </c>
      <c r="M60" t="s">
        <v>64</v>
      </c>
      <c r="N60" s="15">
        <v>65.239999999999995</v>
      </c>
      <c r="O60" s="16">
        <v>-9.8000000000000007</v>
      </c>
      <c r="P60">
        <v>0</v>
      </c>
    </row>
    <row r="61" spans="1:16" x14ac:dyDescent="0.3">
      <c r="A61" t="s">
        <v>65</v>
      </c>
      <c r="B61" t="s">
        <v>22</v>
      </c>
      <c r="C61" t="s">
        <v>22</v>
      </c>
      <c r="D61" t="s">
        <v>10</v>
      </c>
      <c r="E61" t="s">
        <v>58</v>
      </c>
      <c r="F61" t="s">
        <v>9</v>
      </c>
      <c r="G61" s="15">
        <v>186.86</v>
      </c>
      <c r="H61" t="s">
        <v>27</v>
      </c>
      <c r="I61">
        <v>3</v>
      </c>
      <c r="J61" t="s">
        <v>47</v>
      </c>
      <c r="K61" t="s">
        <v>45</v>
      </c>
      <c r="L61" t="s">
        <v>45</v>
      </c>
      <c r="M61" t="s">
        <v>59</v>
      </c>
      <c r="N61" s="15">
        <v>166.29</v>
      </c>
      <c r="O61" s="16">
        <v>12.4</v>
      </c>
      <c r="P61">
        <v>0</v>
      </c>
    </row>
    <row r="62" spans="1:16" x14ac:dyDescent="0.3">
      <c r="A62" t="s">
        <v>57</v>
      </c>
      <c r="B62" t="s">
        <v>21</v>
      </c>
      <c r="C62" t="s">
        <v>62</v>
      </c>
      <c r="D62" t="s">
        <v>12</v>
      </c>
      <c r="E62" t="s">
        <v>80</v>
      </c>
      <c r="F62" t="s">
        <v>13</v>
      </c>
      <c r="G62" s="15">
        <v>147.15</v>
      </c>
      <c r="H62" t="s">
        <v>26</v>
      </c>
      <c r="I62">
        <v>2</v>
      </c>
      <c r="J62" t="s">
        <v>48</v>
      </c>
      <c r="K62" t="s">
        <v>46</v>
      </c>
      <c r="L62" t="s">
        <v>45</v>
      </c>
      <c r="M62" t="s">
        <v>68</v>
      </c>
      <c r="N62" s="15">
        <v>162.72999999999999</v>
      </c>
      <c r="O62" s="16">
        <v>-9.6</v>
      </c>
      <c r="P62">
        <v>0</v>
      </c>
    </row>
    <row r="63" spans="1:16" x14ac:dyDescent="0.3">
      <c r="A63" t="s">
        <v>65</v>
      </c>
      <c r="B63" t="s">
        <v>22</v>
      </c>
      <c r="C63" t="s">
        <v>22</v>
      </c>
      <c r="D63" t="s">
        <v>15</v>
      </c>
      <c r="E63" t="s">
        <v>76</v>
      </c>
      <c r="F63" t="s">
        <v>9</v>
      </c>
      <c r="G63" s="15">
        <v>138.93</v>
      </c>
      <c r="H63" t="s">
        <v>26</v>
      </c>
      <c r="I63">
        <v>2</v>
      </c>
      <c r="J63" t="s">
        <v>47</v>
      </c>
      <c r="K63" t="s">
        <v>45</v>
      </c>
      <c r="L63" t="s">
        <v>46</v>
      </c>
      <c r="M63" t="s">
        <v>68</v>
      </c>
      <c r="N63" s="15">
        <v>126.51</v>
      </c>
      <c r="O63" s="16">
        <v>9.8000000000000007</v>
      </c>
      <c r="P63">
        <v>0</v>
      </c>
    </row>
    <row r="64" spans="1:16" x14ac:dyDescent="0.3">
      <c r="A64" t="s">
        <v>65</v>
      </c>
      <c r="B64" t="s">
        <v>21</v>
      </c>
      <c r="C64" t="s">
        <v>62</v>
      </c>
      <c r="D64" t="s">
        <v>14</v>
      </c>
      <c r="E64" t="s">
        <v>71</v>
      </c>
      <c r="F64" t="s">
        <v>9</v>
      </c>
      <c r="G64" s="15">
        <v>70.37</v>
      </c>
      <c r="H64" t="s">
        <v>26</v>
      </c>
      <c r="I64">
        <v>2</v>
      </c>
      <c r="J64" t="s">
        <v>48</v>
      </c>
      <c r="K64" t="s">
        <v>45</v>
      </c>
      <c r="L64" t="s">
        <v>45</v>
      </c>
      <c r="M64" t="s">
        <v>59</v>
      </c>
      <c r="N64" s="15">
        <v>71.77</v>
      </c>
      <c r="O64" s="16">
        <v>-2</v>
      </c>
      <c r="P64">
        <v>0</v>
      </c>
    </row>
    <row r="65" spans="1:16" x14ac:dyDescent="0.3">
      <c r="A65" t="s">
        <v>60</v>
      </c>
      <c r="B65" t="s">
        <v>19</v>
      </c>
      <c r="C65" t="s">
        <v>19</v>
      </c>
      <c r="D65" t="s">
        <v>11</v>
      </c>
      <c r="E65" t="s">
        <v>70</v>
      </c>
      <c r="F65" t="s">
        <v>9</v>
      </c>
      <c r="G65" s="15">
        <v>28.24</v>
      </c>
      <c r="H65" t="s">
        <v>26</v>
      </c>
      <c r="I65">
        <v>2</v>
      </c>
      <c r="J65" t="s">
        <v>48</v>
      </c>
      <c r="K65" t="s">
        <v>46</v>
      </c>
      <c r="L65" t="s">
        <v>45</v>
      </c>
      <c r="M65" t="s">
        <v>72</v>
      </c>
      <c r="N65" s="15">
        <v>31.4</v>
      </c>
      <c r="O65" s="16">
        <v>-10.1</v>
      </c>
      <c r="P65">
        <v>0</v>
      </c>
    </row>
    <row r="66" spans="1:16" x14ac:dyDescent="0.3">
      <c r="A66" t="s">
        <v>65</v>
      </c>
      <c r="B66" t="s">
        <v>22</v>
      </c>
      <c r="C66" t="s">
        <v>22</v>
      </c>
      <c r="D66" t="s">
        <v>8</v>
      </c>
      <c r="E66" t="s">
        <v>73</v>
      </c>
      <c r="F66" t="s">
        <v>9</v>
      </c>
      <c r="G66" s="15">
        <v>81.3</v>
      </c>
      <c r="H66" t="s">
        <v>27</v>
      </c>
      <c r="I66">
        <v>3</v>
      </c>
      <c r="J66" t="s">
        <v>47</v>
      </c>
      <c r="K66" t="s">
        <v>46</v>
      </c>
      <c r="L66" t="s">
        <v>45</v>
      </c>
      <c r="M66" t="s">
        <v>72</v>
      </c>
      <c r="N66" s="15">
        <v>88.05</v>
      </c>
      <c r="O66" s="16">
        <v>-7.7</v>
      </c>
      <c r="P66">
        <v>0</v>
      </c>
    </row>
    <row r="67" spans="1:16" x14ac:dyDescent="0.3">
      <c r="A67" t="s">
        <v>60</v>
      </c>
      <c r="B67" t="s">
        <v>22</v>
      </c>
      <c r="C67" t="s">
        <v>22</v>
      </c>
      <c r="D67" t="s">
        <v>15</v>
      </c>
      <c r="E67" t="s">
        <v>75</v>
      </c>
      <c r="F67" t="s">
        <v>9</v>
      </c>
      <c r="G67" s="15">
        <v>126.99</v>
      </c>
      <c r="H67" t="s">
        <v>25</v>
      </c>
      <c r="I67">
        <v>1</v>
      </c>
      <c r="J67" t="s">
        <v>47</v>
      </c>
      <c r="K67" t="s">
        <v>45</v>
      </c>
      <c r="L67" t="s">
        <v>45</v>
      </c>
      <c r="M67" t="s">
        <v>64</v>
      </c>
      <c r="N67" s="15">
        <v>119</v>
      </c>
      <c r="O67" s="16">
        <v>6.7</v>
      </c>
      <c r="P67">
        <v>0</v>
      </c>
    </row>
    <row r="68" spans="1:16" x14ac:dyDescent="0.3">
      <c r="A68" t="s">
        <v>60</v>
      </c>
      <c r="B68" t="s">
        <v>20</v>
      </c>
      <c r="C68" t="s">
        <v>20</v>
      </c>
      <c r="D68" t="s">
        <v>12</v>
      </c>
      <c r="E68" t="s">
        <v>66</v>
      </c>
      <c r="F68" t="s">
        <v>13</v>
      </c>
      <c r="G68" s="15">
        <v>191.54</v>
      </c>
      <c r="H68" t="s">
        <v>26</v>
      </c>
      <c r="I68">
        <v>2</v>
      </c>
      <c r="J68" t="s">
        <v>48</v>
      </c>
      <c r="K68" t="s">
        <v>45</v>
      </c>
      <c r="L68" t="s">
        <v>46</v>
      </c>
      <c r="M68" t="s">
        <v>61</v>
      </c>
      <c r="N68" s="15">
        <v>168.34</v>
      </c>
      <c r="O68" s="16">
        <v>13.8</v>
      </c>
      <c r="P68">
        <v>0</v>
      </c>
    </row>
    <row r="69" spans="1:16" x14ac:dyDescent="0.3">
      <c r="A69" t="s">
        <v>57</v>
      </c>
      <c r="B69" t="s">
        <v>19</v>
      </c>
      <c r="C69" t="s">
        <v>19</v>
      </c>
      <c r="D69" t="s">
        <v>14</v>
      </c>
      <c r="E69" t="s">
        <v>71</v>
      </c>
      <c r="F69" t="s">
        <v>9</v>
      </c>
      <c r="G69" s="15">
        <v>80</v>
      </c>
      <c r="H69" t="s">
        <v>25</v>
      </c>
      <c r="I69">
        <v>1</v>
      </c>
      <c r="J69" t="s">
        <v>48</v>
      </c>
      <c r="K69" t="s">
        <v>46</v>
      </c>
      <c r="L69" t="s">
        <v>46</v>
      </c>
      <c r="M69" t="s">
        <v>64</v>
      </c>
      <c r="N69" s="15">
        <v>65.77</v>
      </c>
      <c r="O69" s="16">
        <v>21.6</v>
      </c>
      <c r="P69">
        <v>1</v>
      </c>
    </row>
    <row r="70" spans="1:16" x14ac:dyDescent="0.3">
      <c r="A70" t="s">
        <v>65</v>
      </c>
      <c r="B70" t="s">
        <v>19</v>
      </c>
      <c r="C70" t="s">
        <v>19</v>
      </c>
      <c r="D70" t="s">
        <v>11</v>
      </c>
      <c r="E70" t="s">
        <v>70</v>
      </c>
      <c r="F70" t="s">
        <v>9</v>
      </c>
      <c r="G70" s="15">
        <v>36.96</v>
      </c>
      <c r="H70" t="s">
        <v>27</v>
      </c>
      <c r="I70">
        <v>3</v>
      </c>
      <c r="J70" t="s">
        <v>47</v>
      </c>
      <c r="K70" t="s">
        <v>45</v>
      </c>
      <c r="L70" t="s">
        <v>45</v>
      </c>
      <c r="M70" t="s">
        <v>59</v>
      </c>
      <c r="N70" s="15">
        <v>32.630000000000003</v>
      </c>
      <c r="O70" s="16">
        <v>13.3</v>
      </c>
      <c r="P70">
        <v>0</v>
      </c>
    </row>
    <row r="71" spans="1:16" x14ac:dyDescent="0.3">
      <c r="A71" t="s">
        <v>65</v>
      </c>
      <c r="B71" t="s">
        <v>19</v>
      </c>
      <c r="C71" t="s">
        <v>19</v>
      </c>
      <c r="D71" t="s">
        <v>10</v>
      </c>
      <c r="E71" t="s">
        <v>69</v>
      </c>
      <c r="F71" t="s">
        <v>9</v>
      </c>
      <c r="G71" s="15">
        <v>158.91999999999999</v>
      </c>
      <c r="H71" t="s">
        <v>25</v>
      </c>
      <c r="I71">
        <v>1</v>
      </c>
      <c r="J71" t="s">
        <v>47</v>
      </c>
      <c r="K71" t="s">
        <v>46</v>
      </c>
      <c r="L71" t="s">
        <v>45</v>
      </c>
      <c r="M71" t="s">
        <v>59</v>
      </c>
      <c r="N71" s="15">
        <v>158.91999999999999</v>
      </c>
      <c r="O71" s="16">
        <v>0</v>
      </c>
      <c r="P71">
        <v>0</v>
      </c>
    </row>
    <row r="72" spans="1:16" x14ac:dyDescent="0.3">
      <c r="A72" t="s">
        <v>65</v>
      </c>
      <c r="B72" t="s">
        <v>20</v>
      </c>
      <c r="C72" t="s">
        <v>20</v>
      </c>
      <c r="D72" t="s">
        <v>12</v>
      </c>
      <c r="E72" t="s">
        <v>80</v>
      </c>
      <c r="F72" t="s">
        <v>13</v>
      </c>
      <c r="G72" s="15">
        <v>193.53</v>
      </c>
      <c r="H72" t="s">
        <v>26</v>
      </c>
      <c r="I72">
        <v>2</v>
      </c>
      <c r="J72" t="s">
        <v>44</v>
      </c>
      <c r="K72" t="s">
        <v>45</v>
      </c>
      <c r="L72" t="s">
        <v>45</v>
      </c>
      <c r="M72" t="s">
        <v>64</v>
      </c>
      <c r="N72" s="15">
        <v>176.57</v>
      </c>
      <c r="O72" s="16">
        <v>9.6</v>
      </c>
      <c r="P72">
        <v>0</v>
      </c>
    </row>
    <row r="73" spans="1:16" x14ac:dyDescent="0.3">
      <c r="A73" t="s">
        <v>65</v>
      </c>
      <c r="B73" t="s">
        <v>19</v>
      </c>
      <c r="C73" t="s">
        <v>19</v>
      </c>
      <c r="D73" t="s">
        <v>11</v>
      </c>
      <c r="E73" t="s">
        <v>79</v>
      </c>
      <c r="F73" t="s">
        <v>9</v>
      </c>
      <c r="G73" s="15">
        <v>27.25</v>
      </c>
      <c r="H73" t="s">
        <v>26</v>
      </c>
      <c r="I73">
        <v>2</v>
      </c>
      <c r="J73" t="s">
        <v>47</v>
      </c>
      <c r="K73" t="s">
        <v>45</v>
      </c>
      <c r="L73" t="s">
        <v>45</v>
      </c>
      <c r="M73" t="s">
        <v>78</v>
      </c>
      <c r="N73" s="15">
        <v>33.39</v>
      </c>
      <c r="O73" s="16">
        <v>-18.399999999999999</v>
      </c>
      <c r="P73">
        <v>0</v>
      </c>
    </row>
    <row r="74" spans="1:16" x14ac:dyDescent="0.3">
      <c r="A74" t="s">
        <v>65</v>
      </c>
      <c r="B74" t="s">
        <v>17</v>
      </c>
      <c r="C74" t="s">
        <v>17</v>
      </c>
      <c r="D74" t="s">
        <v>10</v>
      </c>
      <c r="E74" t="s">
        <v>58</v>
      </c>
      <c r="F74" t="s">
        <v>9</v>
      </c>
      <c r="G74" s="15">
        <v>178.04</v>
      </c>
      <c r="H74" t="s">
        <v>26</v>
      </c>
      <c r="I74">
        <v>2</v>
      </c>
      <c r="J74" t="s">
        <v>48</v>
      </c>
      <c r="K74" t="s">
        <v>45</v>
      </c>
      <c r="L74" t="s">
        <v>45</v>
      </c>
      <c r="M74" t="s">
        <v>59</v>
      </c>
      <c r="N74" s="15">
        <v>166.29</v>
      </c>
      <c r="O74" s="16">
        <v>7.1</v>
      </c>
      <c r="P74">
        <v>0</v>
      </c>
    </row>
    <row r="75" spans="1:16" x14ac:dyDescent="0.3">
      <c r="A75" t="s">
        <v>65</v>
      </c>
      <c r="B75" t="s">
        <v>21</v>
      </c>
      <c r="C75" t="s">
        <v>62</v>
      </c>
      <c r="D75" t="s">
        <v>14</v>
      </c>
      <c r="E75" t="s">
        <v>77</v>
      </c>
      <c r="F75" t="s">
        <v>9</v>
      </c>
      <c r="G75" s="15">
        <v>61.83</v>
      </c>
      <c r="H75" t="s">
        <v>26</v>
      </c>
      <c r="I75">
        <v>2</v>
      </c>
      <c r="J75" t="s">
        <v>47</v>
      </c>
      <c r="K75" t="s">
        <v>46</v>
      </c>
      <c r="L75" t="s">
        <v>45</v>
      </c>
      <c r="M75" t="s">
        <v>78</v>
      </c>
      <c r="N75" s="15">
        <v>70.66</v>
      </c>
      <c r="O75" s="16">
        <v>-12.5</v>
      </c>
      <c r="P75">
        <v>0</v>
      </c>
    </row>
    <row r="76" spans="1:16" x14ac:dyDescent="0.3">
      <c r="A76" t="s">
        <v>60</v>
      </c>
      <c r="B76" t="s">
        <v>17</v>
      </c>
      <c r="C76" t="s">
        <v>17</v>
      </c>
      <c r="D76" t="s">
        <v>11</v>
      </c>
      <c r="E76" t="s">
        <v>79</v>
      </c>
      <c r="F76" t="s">
        <v>9</v>
      </c>
      <c r="G76" s="15">
        <v>34.97</v>
      </c>
      <c r="H76" t="s">
        <v>26</v>
      </c>
      <c r="I76">
        <v>2</v>
      </c>
      <c r="J76" t="s">
        <v>48</v>
      </c>
      <c r="K76" t="s">
        <v>45</v>
      </c>
      <c r="L76" t="s">
        <v>45</v>
      </c>
      <c r="M76" t="s">
        <v>78</v>
      </c>
      <c r="N76" s="15">
        <v>29.14</v>
      </c>
      <c r="O76" s="16">
        <v>20</v>
      </c>
      <c r="P76">
        <v>1</v>
      </c>
    </row>
    <row r="77" spans="1:16" x14ac:dyDescent="0.3">
      <c r="A77" t="s">
        <v>57</v>
      </c>
      <c r="B77" t="s">
        <v>21</v>
      </c>
      <c r="C77" t="s">
        <v>62</v>
      </c>
      <c r="D77" t="s">
        <v>15</v>
      </c>
      <c r="E77" t="s">
        <v>76</v>
      </c>
      <c r="F77" t="s">
        <v>9</v>
      </c>
      <c r="G77" s="15">
        <v>109.58</v>
      </c>
      <c r="H77" t="s">
        <v>26</v>
      </c>
      <c r="I77">
        <v>2</v>
      </c>
      <c r="J77" t="s">
        <v>47</v>
      </c>
      <c r="K77" t="s">
        <v>46</v>
      </c>
      <c r="L77" t="s">
        <v>45</v>
      </c>
      <c r="M77" t="s">
        <v>67</v>
      </c>
      <c r="N77" s="15">
        <v>118.59</v>
      </c>
      <c r="O77" s="16">
        <v>-7.6</v>
      </c>
      <c r="P77">
        <v>0</v>
      </c>
    </row>
    <row r="78" spans="1:16" x14ac:dyDescent="0.3">
      <c r="A78" t="s">
        <v>57</v>
      </c>
      <c r="B78" t="s">
        <v>17</v>
      </c>
      <c r="C78" t="s">
        <v>17</v>
      </c>
      <c r="D78" t="s">
        <v>11</v>
      </c>
      <c r="E78" t="s">
        <v>79</v>
      </c>
      <c r="F78" t="s">
        <v>9</v>
      </c>
      <c r="G78" s="15">
        <v>32.01</v>
      </c>
      <c r="H78" t="s">
        <v>26</v>
      </c>
      <c r="I78">
        <v>2</v>
      </c>
      <c r="J78" t="s">
        <v>48</v>
      </c>
      <c r="K78" t="s">
        <v>46</v>
      </c>
      <c r="L78" t="s">
        <v>45</v>
      </c>
      <c r="M78" t="s">
        <v>64</v>
      </c>
      <c r="N78" s="15">
        <v>30.93</v>
      </c>
      <c r="O78" s="16">
        <v>3.5</v>
      </c>
      <c r="P78">
        <v>0</v>
      </c>
    </row>
    <row r="79" spans="1:16" x14ac:dyDescent="0.3">
      <c r="A79" t="s">
        <v>60</v>
      </c>
      <c r="B79" t="s">
        <v>20</v>
      </c>
      <c r="C79" t="s">
        <v>20</v>
      </c>
      <c r="D79" t="s">
        <v>11</v>
      </c>
      <c r="E79" t="s">
        <v>79</v>
      </c>
      <c r="F79" t="s">
        <v>9</v>
      </c>
      <c r="G79" s="15">
        <v>27.23</v>
      </c>
      <c r="H79" t="s">
        <v>26</v>
      </c>
      <c r="I79">
        <v>2</v>
      </c>
      <c r="J79" t="s">
        <v>48</v>
      </c>
      <c r="K79" t="s">
        <v>45</v>
      </c>
      <c r="L79" t="s">
        <v>45</v>
      </c>
      <c r="M79" t="s">
        <v>68</v>
      </c>
      <c r="N79" s="15">
        <v>29.14</v>
      </c>
      <c r="O79" s="16">
        <v>-6.6</v>
      </c>
      <c r="P79">
        <v>0</v>
      </c>
    </row>
    <row r="80" spans="1:16" x14ac:dyDescent="0.3">
      <c r="A80" t="s">
        <v>57</v>
      </c>
      <c r="B80" t="s">
        <v>22</v>
      </c>
      <c r="C80" t="s">
        <v>22</v>
      </c>
      <c r="D80" t="s">
        <v>15</v>
      </c>
      <c r="E80" t="s">
        <v>76</v>
      </c>
      <c r="F80" t="s">
        <v>9</v>
      </c>
      <c r="G80" s="15">
        <v>137.24</v>
      </c>
      <c r="H80" t="s">
        <v>26</v>
      </c>
      <c r="I80">
        <v>2</v>
      </c>
      <c r="J80" t="s">
        <v>48</v>
      </c>
      <c r="K80" t="s">
        <v>45</v>
      </c>
      <c r="L80" t="s">
        <v>45</v>
      </c>
      <c r="M80" t="s">
        <v>67</v>
      </c>
      <c r="N80" s="15">
        <v>118.59</v>
      </c>
      <c r="O80" s="16">
        <v>15.7</v>
      </c>
      <c r="P80">
        <v>1</v>
      </c>
    </row>
    <row r="81" spans="1:16" x14ac:dyDescent="0.3">
      <c r="A81" t="s">
        <v>57</v>
      </c>
      <c r="B81" t="s">
        <v>20</v>
      </c>
      <c r="C81" t="s">
        <v>20</v>
      </c>
      <c r="D81" t="s">
        <v>12</v>
      </c>
      <c r="E81" t="s">
        <v>80</v>
      </c>
      <c r="F81" t="s">
        <v>13</v>
      </c>
      <c r="G81" s="15">
        <v>157.65</v>
      </c>
      <c r="H81" t="s">
        <v>26</v>
      </c>
      <c r="I81">
        <v>2</v>
      </c>
      <c r="J81" t="s">
        <v>48</v>
      </c>
      <c r="K81" t="s">
        <v>45</v>
      </c>
      <c r="L81" t="s">
        <v>45</v>
      </c>
      <c r="M81" t="s">
        <v>59</v>
      </c>
      <c r="N81" s="15">
        <v>162.72999999999999</v>
      </c>
      <c r="O81" s="16">
        <v>-3.1</v>
      </c>
      <c r="P81">
        <v>0</v>
      </c>
    </row>
    <row r="82" spans="1:16" x14ac:dyDescent="0.3">
      <c r="A82" t="s">
        <v>60</v>
      </c>
      <c r="B82" t="s">
        <v>17</v>
      </c>
      <c r="C82" t="s">
        <v>17</v>
      </c>
      <c r="D82" t="s">
        <v>15</v>
      </c>
      <c r="E82" t="s">
        <v>75</v>
      </c>
      <c r="F82" t="s">
        <v>9</v>
      </c>
      <c r="G82" s="15">
        <v>121.77</v>
      </c>
      <c r="H82" t="s">
        <v>26</v>
      </c>
      <c r="I82">
        <v>2</v>
      </c>
      <c r="J82" t="s">
        <v>47</v>
      </c>
      <c r="K82" t="s">
        <v>46</v>
      </c>
      <c r="L82" t="s">
        <v>45</v>
      </c>
      <c r="M82" t="s">
        <v>64</v>
      </c>
      <c r="N82" s="15">
        <v>119</v>
      </c>
      <c r="O82" s="16">
        <v>2.2999999999999998</v>
      </c>
      <c r="P82">
        <v>0</v>
      </c>
    </row>
    <row r="83" spans="1:16" x14ac:dyDescent="0.3">
      <c r="A83" t="s">
        <v>57</v>
      </c>
      <c r="B83" t="s">
        <v>17</v>
      </c>
      <c r="C83" t="s">
        <v>17</v>
      </c>
      <c r="D83" t="s">
        <v>15</v>
      </c>
      <c r="E83" t="s">
        <v>76</v>
      </c>
      <c r="F83" t="s">
        <v>9</v>
      </c>
      <c r="G83" s="15">
        <v>121.03</v>
      </c>
      <c r="H83" t="s">
        <v>27</v>
      </c>
      <c r="I83">
        <v>3</v>
      </c>
      <c r="J83" t="s">
        <v>48</v>
      </c>
      <c r="K83" t="s">
        <v>45</v>
      </c>
      <c r="L83" t="s">
        <v>46</v>
      </c>
      <c r="M83" t="s">
        <v>61</v>
      </c>
      <c r="N83" s="15">
        <v>118.59</v>
      </c>
      <c r="O83" s="16">
        <v>2.1</v>
      </c>
      <c r="P83">
        <v>0</v>
      </c>
    </row>
    <row r="84" spans="1:16" x14ac:dyDescent="0.3">
      <c r="A84" t="s">
        <v>57</v>
      </c>
      <c r="B84" t="s">
        <v>19</v>
      </c>
      <c r="C84" t="s">
        <v>19</v>
      </c>
      <c r="D84" t="s">
        <v>8</v>
      </c>
      <c r="E84" t="s">
        <v>74</v>
      </c>
      <c r="F84" t="s">
        <v>9</v>
      </c>
      <c r="G84" s="15">
        <v>93.12</v>
      </c>
      <c r="H84" t="s">
        <v>26</v>
      </c>
      <c r="I84">
        <v>2</v>
      </c>
      <c r="J84" t="s">
        <v>48</v>
      </c>
      <c r="K84" t="s">
        <v>46</v>
      </c>
      <c r="L84" t="s">
        <v>45</v>
      </c>
      <c r="M84" t="s">
        <v>78</v>
      </c>
      <c r="N84" s="15">
        <v>83.41</v>
      </c>
      <c r="O84" s="16">
        <v>11.6</v>
      </c>
      <c r="P84">
        <v>0</v>
      </c>
    </row>
    <row r="85" spans="1:16" x14ac:dyDescent="0.3">
      <c r="A85" t="s">
        <v>65</v>
      </c>
      <c r="B85" t="s">
        <v>22</v>
      </c>
      <c r="C85" t="s">
        <v>22</v>
      </c>
      <c r="D85" t="s">
        <v>10</v>
      </c>
      <c r="E85" t="s">
        <v>69</v>
      </c>
      <c r="F85" t="s">
        <v>9</v>
      </c>
      <c r="G85" s="15">
        <v>180.74</v>
      </c>
      <c r="H85" t="s">
        <v>26</v>
      </c>
      <c r="I85">
        <v>2</v>
      </c>
      <c r="J85" t="s">
        <v>48</v>
      </c>
      <c r="K85" t="s">
        <v>45</v>
      </c>
      <c r="L85" t="s">
        <v>46</v>
      </c>
      <c r="M85" t="s">
        <v>67</v>
      </c>
      <c r="N85" s="15">
        <v>158.91999999999999</v>
      </c>
      <c r="O85" s="16">
        <v>13.7</v>
      </c>
      <c r="P85">
        <v>0</v>
      </c>
    </row>
    <row r="86" spans="1:16" x14ac:dyDescent="0.3">
      <c r="A86" t="s">
        <v>57</v>
      </c>
      <c r="B86" t="s">
        <v>18</v>
      </c>
      <c r="C86" t="s">
        <v>18</v>
      </c>
      <c r="D86" t="s">
        <v>11</v>
      </c>
      <c r="E86" t="s">
        <v>79</v>
      </c>
      <c r="F86" t="s">
        <v>9</v>
      </c>
      <c r="G86" s="15">
        <v>35.74</v>
      </c>
      <c r="H86" t="s">
        <v>25</v>
      </c>
      <c r="I86">
        <v>1</v>
      </c>
      <c r="J86" t="s">
        <v>47</v>
      </c>
      <c r="K86" t="s">
        <v>45</v>
      </c>
      <c r="L86" t="s">
        <v>46</v>
      </c>
      <c r="M86" t="s">
        <v>61</v>
      </c>
      <c r="N86" s="15">
        <v>30.93</v>
      </c>
      <c r="O86" s="16">
        <v>15.6</v>
      </c>
      <c r="P86">
        <v>1</v>
      </c>
    </row>
    <row r="87" spans="1:16" x14ac:dyDescent="0.3">
      <c r="A87" t="s">
        <v>65</v>
      </c>
      <c r="B87" t="s">
        <v>21</v>
      </c>
      <c r="C87" t="s">
        <v>62</v>
      </c>
      <c r="D87" t="s">
        <v>10</v>
      </c>
      <c r="E87" t="s">
        <v>69</v>
      </c>
      <c r="F87" t="s">
        <v>9</v>
      </c>
      <c r="G87" s="15">
        <v>197.63</v>
      </c>
      <c r="H87" t="s">
        <v>27</v>
      </c>
      <c r="I87">
        <v>3</v>
      </c>
      <c r="J87" t="s">
        <v>44</v>
      </c>
      <c r="K87" t="s">
        <v>46</v>
      </c>
      <c r="L87" t="s">
        <v>46</v>
      </c>
      <c r="M87" t="s">
        <v>67</v>
      </c>
      <c r="N87" s="15">
        <v>158.91999999999999</v>
      </c>
      <c r="O87" s="16">
        <v>24.4</v>
      </c>
      <c r="P87">
        <v>1</v>
      </c>
    </row>
    <row r="88" spans="1:16" x14ac:dyDescent="0.3">
      <c r="A88" t="s">
        <v>57</v>
      </c>
      <c r="B88" t="s">
        <v>22</v>
      </c>
      <c r="C88" t="s">
        <v>22</v>
      </c>
      <c r="D88" t="s">
        <v>12</v>
      </c>
      <c r="E88" t="s">
        <v>66</v>
      </c>
      <c r="F88" t="s">
        <v>13</v>
      </c>
      <c r="G88" s="15">
        <v>169.55</v>
      </c>
      <c r="H88" t="s">
        <v>25</v>
      </c>
      <c r="I88">
        <v>1</v>
      </c>
      <c r="J88" t="s">
        <v>48</v>
      </c>
      <c r="K88" t="s">
        <v>45</v>
      </c>
      <c r="L88" t="s">
        <v>45</v>
      </c>
      <c r="M88" t="s">
        <v>72</v>
      </c>
      <c r="N88" s="15">
        <v>170.56</v>
      </c>
      <c r="O88" s="16">
        <v>-0.6</v>
      </c>
      <c r="P88">
        <v>0</v>
      </c>
    </row>
    <row r="89" spans="1:16" x14ac:dyDescent="0.3">
      <c r="A89" t="s">
        <v>57</v>
      </c>
      <c r="B89" t="s">
        <v>21</v>
      </c>
      <c r="C89" t="s">
        <v>62</v>
      </c>
      <c r="D89" t="s">
        <v>8</v>
      </c>
      <c r="E89" t="s">
        <v>73</v>
      </c>
      <c r="F89" t="s">
        <v>9</v>
      </c>
      <c r="G89" s="15">
        <v>116.86</v>
      </c>
      <c r="H89" t="s">
        <v>26</v>
      </c>
      <c r="I89">
        <v>2</v>
      </c>
      <c r="J89" t="s">
        <v>47</v>
      </c>
      <c r="K89" t="s">
        <v>46</v>
      </c>
      <c r="L89" t="s">
        <v>45</v>
      </c>
      <c r="M89" t="s">
        <v>72</v>
      </c>
      <c r="N89" s="15">
        <v>86.06</v>
      </c>
      <c r="O89" s="16">
        <v>35.799999999999997</v>
      </c>
      <c r="P89">
        <v>1</v>
      </c>
    </row>
    <row r="90" spans="1:16" x14ac:dyDescent="0.3">
      <c r="A90" t="s">
        <v>57</v>
      </c>
      <c r="B90" t="s">
        <v>22</v>
      </c>
      <c r="C90" t="s">
        <v>22</v>
      </c>
      <c r="D90" t="s">
        <v>14</v>
      </c>
      <c r="E90" t="s">
        <v>71</v>
      </c>
      <c r="F90" t="s">
        <v>9</v>
      </c>
      <c r="G90" s="15">
        <v>51.55</v>
      </c>
      <c r="H90" t="s">
        <v>27</v>
      </c>
      <c r="I90">
        <v>3</v>
      </c>
      <c r="J90" t="s">
        <v>48</v>
      </c>
      <c r="K90" t="s">
        <v>46</v>
      </c>
      <c r="L90" t="s">
        <v>45</v>
      </c>
      <c r="M90" t="s">
        <v>68</v>
      </c>
      <c r="N90" s="15">
        <v>65.77</v>
      </c>
      <c r="O90" s="16">
        <v>-21.6</v>
      </c>
      <c r="P90">
        <v>0</v>
      </c>
    </row>
    <row r="91" spans="1:16" x14ac:dyDescent="0.3">
      <c r="A91" t="s">
        <v>57</v>
      </c>
      <c r="B91" t="s">
        <v>21</v>
      </c>
      <c r="C91" t="s">
        <v>62</v>
      </c>
      <c r="D91" t="s">
        <v>12</v>
      </c>
      <c r="E91" t="s">
        <v>80</v>
      </c>
      <c r="F91" t="s">
        <v>13</v>
      </c>
      <c r="G91" s="15">
        <v>195.18</v>
      </c>
      <c r="H91" t="s">
        <v>26</v>
      </c>
      <c r="I91">
        <v>2</v>
      </c>
      <c r="J91" t="s">
        <v>48</v>
      </c>
      <c r="K91" t="s">
        <v>45</v>
      </c>
      <c r="L91" t="s">
        <v>45</v>
      </c>
      <c r="M91" t="s">
        <v>67</v>
      </c>
      <c r="N91" s="15">
        <v>162.72999999999999</v>
      </c>
      <c r="O91" s="16">
        <v>19.899999999999999</v>
      </c>
      <c r="P91">
        <v>1</v>
      </c>
    </row>
    <row r="92" spans="1:16" x14ac:dyDescent="0.3">
      <c r="A92" t="s">
        <v>57</v>
      </c>
      <c r="B92" t="s">
        <v>22</v>
      </c>
      <c r="C92" t="s">
        <v>22</v>
      </c>
      <c r="D92" t="s">
        <v>11</v>
      </c>
      <c r="E92" t="s">
        <v>79</v>
      </c>
      <c r="F92" t="s">
        <v>9</v>
      </c>
      <c r="G92" s="15">
        <v>32.83</v>
      </c>
      <c r="H92" t="s">
        <v>26</v>
      </c>
      <c r="I92">
        <v>2</v>
      </c>
      <c r="J92" t="s">
        <v>48</v>
      </c>
      <c r="K92" t="s">
        <v>46</v>
      </c>
      <c r="L92" t="s">
        <v>46</v>
      </c>
      <c r="M92" t="s">
        <v>78</v>
      </c>
      <c r="N92" s="15">
        <v>30.93</v>
      </c>
      <c r="O92" s="16">
        <v>6.1</v>
      </c>
      <c r="P92">
        <v>0</v>
      </c>
    </row>
    <row r="93" spans="1:16" x14ac:dyDescent="0.3">
      <c r="A93" t="s">
        <v>57</v>
      </c>
      <c r="B93" t="s">
        <v>21</v>
      </c>
      <c r="C93" t="s">
        <v>62</v>
      </c>
      <c r="D93" t="s">
        <v>10</v>
      </c>
      <c r="E93" t="s">
        <v>69</v>
      </c>
      <c r="F93" t="s">
        <v>9</v>
      </c>
      <c r="G93" s="15">
        <v>145.71</v>
      </c>
      <c r="H93" t="s">
        <v>27</v>
      </c>
      <c r="I93">
        <v>3</v>
      </c>
      <c r="J93" t="s">
        <v>48</v>
      </c>
      <c r="K93" t="s">
        <v>45</v>
      </c>
      <c r="L93" t="s">
        <v>45</v>
      </c>
      <c r="M93" t="s">
        <v>67</v>
      </c>
      <c r="N93" s="15">
        <v>150.38999999999999</v>
      </c>
      <c r="O93" s="16">
        <v>-3.1</v>
      </c>
      <c r="P93">
        <v>0</v>
      </c>
    </row>
    <row r="94" spans="1:16" x14ac:dyDescent="0.3">
      <c r="A94" t="s">
        <v>65</v>
      </c>
      <c r="B94" t="s">
        <v>18</v>
      </c>
      <c r="C94" t="s">
        <v>18</v>
      </c>
      <c r="D94" t="s">
        <v>10</v>
      </c>
      <c r="E94" t="s">
        <v>58</v>
      </c>
      <c r="F94" t="s">
        <v>9</v>
      </c>
      <c r="G94" s="15">
        <v>146</v>
      </c>
      <c r="H94" t="s">
        <v>26</v>
      </c>
      <c r="I94">
        <v>2</v>
      </c>
      <c r="J94" t="s">
        <v>47</v>
      </c>
      <c r="K94" t="s">
        <v>46</v>
      </c>
      <c r="L94" t="s">
        <v>45</v>
      </c>
      <c r="M94" t="s">
        <v>68</v>
      </c>
      <c r="N94" s="15">
        <v>166.29</v>
      </c>
      <c r="O94" s="16">
        <v>-12.2</v>
      </c>
      <c r="P94">
        <v>0</v>
      </c>
    </row>
    <row r="95" spans="1:16" x14ac:dyDescent="0.3">
      <c r="A95" t="s">
        <v>65</v>
      </c>
      <c r="B95" t="s">
        <v>17</v>
      </c>
      <c r="C95" t="s">
        <v>17</v>
      </c>
      <c r="D95" t="s">
        <v>12</v>
      </c>
      <c r="E95" t="s">
        <v>80</v>
      </c>
      <c r="F95" t="s">
        <v>13</v>
      </c>
      <c r="G95" s="15">
        <v>183.99</v>
      </c>
      <c r="H95" t="s">
        <v>25</v>
      </c>
      <c r="I95">
        <v>1</v>
      </c>
      <c r="J95" t="s">
        <v>47</v>
      </c>
      <c r="K95" t="s">
        <v>45</v>
      </c>
      <c r="L95" t="s">
        <v>45</v>
      </c>
      <c r="M95" t="s">
        <v>59</v>
      </c>
      <c r="N95" s="15">
        <v>176.57</v>
      </c>
      <c r="O95" s="16">
        <v>4.2</v>
      </c>
      <c r="P95">
        <v>0</v>
      </c>
    </row>
    <row r="96" spans="1:16" x14ac:dyDescent="0.3">
      <c r="A96" t="s">
        <v>65</v>
      </c>
      <c r="B96" t="s">
        <v>22</v>
      </c>
      <c r="C96" t="s">
        <v>22</v>
      </c>
      <c r="D96" t="s">
        <v>10</v>
      </c>
      <c r="E96" t="s">
        <v>58</v>
      </c>
      <c r="F96" t="s">
        <v>9</v>
      </c>
      <c r="G96" s="15">
        <v>199.46</v>
      </c>
      <c r="H96" t="s">
        <v>26</v>
      </c>
      <c r="I96">
        <v>2</v>
      </c>
      <c r="J96" t="s">
        <v>44</v>
      </c>
      <c r="K96" t="s">
        <v>45</v>
      </c>
      <c r="L96" t="s">
        <v>45</v>
      </c>
      <c r="M96" t="s">
        <v>67</v>
      </c>
      <c r="N96" s="15">
        <v>166.29</v>
      </c>
      <c r="O96" s="16">
        <v>19.899999999999999</v>
      </c>
      <c r="P96">
        <v>1</v>
      </c>
    </row>
    <row r="97" spans="1:16" x14ac:dyDescent="0.3">
      <c r="A97" t="s">
        <v>57</v>
      </c>
      <c r="B97" t="s">
        <v>19</v>
      </c>
      <c r="C97" t="s">
        <v>19</v>
      </c>
      <c r="D97" t="s">
        <v>8</v>
      </c>
      <c r="E97" t="s">
        <v>73</v>
      </c>
      <c r="F97" t="s">
        <v>9</v>
      </c>
      <c r="G97" s="15">
        <v>115.32</v>
      </c>
      <c r="H97" t="s">
        <v>25</v>
      </c>
      <c r="I97">
        <v>1</v>
      </c>
      <c r="J97" t="s">
        <v>48</v>
      </c>
      <c r="K97" t="s">
        <v>45</v>
      </c>
      <c r="L97" t="s">
        <v>45</v>
      </c>
      <c r="M97" t="s">
        <v>61</v>
      </c>
      <c r="N97" s="15">
        <v>86.06</v>
      </c>
      <c r="O97" s="16">
        <v>34</v>
      </c>
      <c r="P97">
        <v>1</v>
      </c>
    </row>
    <row r="98" spans="1:16" x14ac:dyDescent="0.3">
      <c r="A98" t="s">
        <v>57</v>
      </c>
      <c r="B98" t="s">
        <v>17</v>
      </c>
      <c r="C98" t="s">
        <v>17</v>
      </c>
      <c r="D98" t="s">
        <v>14</v>
      </c>
      <c r="E98" t="s">
        <v>63</v>
      </c>
      <c r="F98" t="s">
        <v>9</v>
      </c>
      <c r="G98" s="15">
        <v>71.28</v>
      </c>
      <c r="H98" t="s">
        <v>25</v>
      </c>
      <c r="I98">
        <v>1</v>
      </c>
      <c r="J98" t="s">
        <v>48</v>
      </c>
      <c r="K98" t="s">
        <v>45</v>
      </c>
      <c r="L98" t="s">
        <v>45</v>
      </c>
      <c r="M98" t="s">
        <v>64</v>
      </c>
      <c r="N98" s="15">
        <v>65.16</v>
      </c>
      <c r="O98" s="16">
        <v>9.4</v>
      </c>
      <c r="P98">
        <v>0</v>
      </c>
    </row>
    <row r="99" spans="1:16" x14ac:dyDescent="0.3">
      <c r="A99" t="s">
        <v>65</v>
      </c>
      <c r="B99" t="s">
        <v>18</v>
      </c>
      <c r="C99" t="s">
        <v>18</v>
      </c>
      <c r="D99" t="s">
        <v>11</v>
      </c>
      <c r="E99" t="s">
        <v>79</v>
      </c>
      <c r="F99" t="s">
        <v>9</v>
      </c>
      <c r="G99" s="15">
        <v>39.409999999999997</v>
      </c>
      <c r="H99" t="s">
        <v>26</v>
      </c>
      <c r="I99">
        <v>2</v>
      </c>
      <c r="J99" t="s">
        <v>48</v>
      </c>
      <c r="K99" t="s">
        <v>45</v>
      </c>
      <c r="L99" t="s">
        <v>46</v>
      </c>
      <c r="M99" t="s">
        <v>72</v>
      </c>
      <c r="N99" s="15">
        <v>33.39</v>
      </c>
      <c r="O99" s="16">
        <v>18</v>
      </c>
      <c r="P99">
        <v>1</v>
      </c>
    </row>
    <row r="100" spans="1:16" x14ac:dyDescent="0.3">
      <c r="A100" t="s">
        <v>57</v>
      </c>
      <c r="B100" t="s">
        <v>22</v>
      </c>
      <c r="C100" t="s">
        <v>22</v>
      </c>
      <c r="D100" t="s">
        <v>10</v>
      </c>
      <c r="E100" t="s">
        <v>69</v>
      </c>
      <c r="F100" t="s">
        <v>9</v>
      </c>
      <c r="G100" s="15">
        <v>159.69</v>
      </c>
      <c r="H100" t="s">
        <v>26</v>
      </c>
      <c r="I100">
        <v>2</v>
      </c>
      <c r="J100" t="s">
        <v>48</v>
      </c>
      <c r="K100" t="s">
        <v>45</v>
      </c>
      <c r="L100" t="s">
        <v>45</v>
      </c>
      <c r="M100" t="s">
        <v>59</v>
      </c>
      <c r="N100" s="15">
        <v>150.38999999999999</v>
      </c>
      <c r="O100" s="16">
        <v>6.2</v>
      </c>
      <c r="P100">
        <v>0</v>
      </c>
    </row>
    <row r="101" spans="1:16" x14ac:dyDescent="0.3">
      <c r="A101" t="s">
        <v>65</v>
      </c>
      <c r="B101" t="s">
        <v>21</v>
      </c>
      <c r="C101" t="s">
        <v>62</v>
      </c>
      <c r="D101" t="s">
        <v>10</v>
      </c>
      <c r="E101" t="s">
        <v>69</v>
      </c>
      <c r="F101" t="s">
        <v>9</v>
      </c>
      <c r="G101" s="15">
        <v>147.38</v>
      </c>
      <c r="H101" t="s">
        <v>26</v>
      </c>
      <c r="I101">
        <v>2</v>
      </c>
      <c r="J101" t="s">
        <v>48</v>
      </c>
      <c r="K101" t="s">
        <v>46</v>
      </c>
      <c r="L101" t="s">
        <v>45</v>
      </c>
      <c r="M101" t="s">
        <v>61</v>
      </c>
      <c r="N101" s="15">
        <v>158.91999999999999</v>
      </c>
      <c r="O101" s="16">
        <v>-7.3</v>
      </c>
      <c r="P101">
        <v>0</v>
      </c>
    </row>
    <row r="102" spans="1:16" x14ac:dyDescent="0.3">
      <c r="A102" t="s">
        <v>65</v>
      </c>
      <c r="B102" t="s">
        <v>22</v>
      </c>
      <c r="C102" t="s">
        <v>22</v>
      </c>
      <c r="D102" t="s">
        <v>12</v>
      </c>
      <c r="E102" t="s">
        <v>66</v>
      </c>
      <c r="F102" t="s">
        <v>13</v>
      </c>
      <c r="G102" s="15">
        <v>187.51</v>
      </c>
      <c r="H102" t="s">
        <v>26</v>
      </c>
      <c r="I102">
        <v>2</v>
      </c>
      <c r="J102" t="s">
        <v>48</v>
      </c>
      <c r="K102" t="s">
        <v>45</v>
      </c>
      <c r="L102" t="s">
        <v>46</v>
      </c>
      <c r="M102" t="s">
        <v>67</v>
      </c>
      <c r="N102" s="15">
        <v>178.49</v>
      </c>
      <c r="O102" s="16">
        <v>5.0999999999999996</v>
      </c>
      <c r="P102">
        <v>0</v>
      </c>
    </row>
    <row r="103" spans="1:16" x14ac:dyDescent="0.3">
      <c r="A103" t="s">
        <v>57</v>
      </c>
      <c r="B103" t="s">
        <v>19</v>
      </c>
      <c r="C103" t="s">
        <v>19</v>
      </c>
      <c r="D103" t="s">
        <v>12</v>
      </c>
      <c r="E103" t="s">
        <v>66</v>
      </c>
      <c r="F103" t="s">
        <v>13</v>
      </c>
      <c r="G103" s="15">
        <v>200</v>
      </c>
      <c r="H103" t="s">
        <v>25</v>
      </c>
      <c r="I103">
        <v>1</v>
      </c>
      <c r="J103" t="s">
        <v>47</v>
      </c>
      <c r="K103" t="s">
        <v>45</v>
      </c>
      <c r="L103" t="s">
        <v>46</v>
      </c>
      <c r="M103" t="s">
        <v>72</v>
      </c>
      <c r="N103" s="15">
        <v>170.56</v>
      </c>
      <c r="O103" s="16">
        <v>17.3</v>
      </c>
      <c r="P103">
        <v>1</v>
      </c>
    </row>
    <row r="104" spans="1:16" x14ac:dyDescent="0.3">
      <c r="A104" t="s">
        <v>60</v>
      </c>
      <c r="B104" t="s">
        <v>22</v>
      </c>
      <c r="C104" t="s">
        <v>22</v>
      </c>
      <c r="D104" t="s">
        <v>8</v>
      </c>
      <c r="E104" t="s">
        <v>74</v>
      </c>
      <c r="F104" t="s">
        <v>9</v>
      </c>
      <c r="G104" s="15">
        <v>91.07</v>
      </c>
      <c r="H104" t="s">
        <v>25</v>
      </c>
      <c r="I104">
        <v>1</v>
      </c>
      <c r="J104" t="s">
        <v>48</v>
      </c>
      <c r="K104" t="s">
        <v>46</v>
      </c>
      <c r="L104" t="s">
        <v>45</v>
      </c>
      <c r="M104" t="s">
        <v>59</v>
      </c>
      <c r="N104" s="15">
        <v>78.260000000000005</v>
      </c>
      <c r="O104" s="16">
        <v>16.399999999999999</v>
      </c>
      <c r="P104">
        <v>1</v>
      </c>
    </row>
    <row r="105" spans="1:16" x14ac:dyDescent="0.3">
      <c r="A105" t="s">
        <v>57</v>
      </c>
      <c r="B105" t="s">
        <v>21</v>
      </c>
      <c r="C105" t="s">
        <v>62</v>
      </c>
      <c r="D105" t="s">
        <v>8</v>
      </c>
      <c r="E105" t="s">
        <v>74</v>
      </c>
      <c r="F105" t="s">
        <v>9</v>
      </c>
      <c r="G105" s="15">
        <v>88.95</v>
      </c>
      <c r="H105" t="s">
        <v>26</v>
      </c>
      <c r="I105">
        <v>2</v>
      </c>
      <c r="J105" t="s">
        <v>44</v>
      </c>
      <c r="K105" t="s">
        <v>45</v>
      </c>
      <c r="L105" t="s">
        <v>45</v>
      </c>
      <c r="M105" t="s">
        <v>59</v>
      </c>
      <c r="N105" s="15">
        <v>83.41</v>
      </c>
      <c r="O105" s="16">
        <v>6.6</v>
      </c>
      <c r="P105">
        <v>0</v>
      </c>
    </row>
    <row r="106" spans="1:16" x14ac:dyDescent="0.3">
      <c r="A106" t="s">
        <v>57</v>
      </c>
      <c r="B106" t="s">
        <v>19</v>
      </c>
      <c r="C106" t="s">
        <v>19</v>
      </c>
      <c r="D106" t="s">
        <v>8</v>
      </c>
      <c r="E106" t="s">
        <v>73</v>
      </c>
      <c r="F106" t="s">
        <v>9</v>
      </c>
      <c r="G106" s="15">
        <v>71.89</v>
      </c>
      <c r="H106" t="s">
        <v>25</v>
      </c>
      <c r="I106">
        <v>1</v>
      </c>
      <c r="J106" t="s">
        <v>48</v>
      </c>
      <c r="K106" t="s">
        <v>46</v>
      </c>
      <c r="L106" t="s">
        <v>46</v>
      </c>
      <c r="M106" t="s">
        <v>68</v>
      </c>
      <c r="N106" s="15">
        <v>86.06</v>
      </c>
      <c r="O106" s="16">
        <v>-16.5</v>
      </c>
      <c r="P106">
        <v>0</v>
      </c>
    </row>
    <row r="107" spans="1:16" x14ac:dyDescent="0.3">
      <c r="A107" t="s">
        <v>60</v>
      </c>
      <c r="B107" t="s">
        <v>19</v>
      </c>
      <c r="C107" t="s">
        <v>19</v>
      </c>
      <c r="D107" t="s">
        <v>14</v>
      </c>
      <c r="E107" t="s">
        <v>77</v>
      </c>
      <c r="F107" t="s">
        <v>9</v>
      </c>
      <c r="G107" s="15">
        <v>75.849999999999994</v>
      </c>
      <c r="H107" t="s">
        <v>25</v>
      </c>
      <c r="I107">
        <v>1</v>
      </c>
      <c r="J107" t="s">
        <v>47</v>
      </c>
      <c r="K107" t="s">
        <v>45</v>
      </c>
      <c r="L107" t="s">
        <v>45</v>
      </c>
      <c r="M107" t="s">
        <v>64</v>
      </c>
      <c r="N107" s="15">
        <v>67.13</v>
      </c>
      <c r="O107" s="16">
        <v>13</v>
      </c>
      <c r="P107">
        <v>0</v>
      </c>
    </row>
    <row r="108" spans="1:16" x14ac:dyDescent="0.3">
      <c r="A108" t="s">
        <v>60</v>
      </c>
      <c r="B108" t="s">
        <v>22</v>
      </c>
      <c r="C108" t="s">
        <v>22</v>
      </c>
      <c r="D108" t="s">
        <v>10</v>
      </c>
      <c r="E108" t="s">
        <v>69</v>
      </c>
      <c r="F108" t="s">
        <v>9</v>
      </c>
      <c r="G108" s="15">
        <v>195.46</v>
      </c>
      <c r="H108" t="s">
        <v>25</v>
      </c>
      <c r="I108">
        <v>1</v>
      </c>
      <c r="J108" t="s">
        <v>48</v>
      </c>
      <c r="K108" t="s">
        <v>45</v>
      </c>
      <c r="L108" t="s">
        <v>45</v>
      </c>
      <c r="M108" t="s">
        <v>64</v>
      </c>
      <c r="N108" s="15">
        <v>158.6</v>
      </c>
      <c r="O108" s="16">
        <v>23.2</v>
      </c>
      <c r="P108">
        <v>1</v>
      </c>
    </row>
    <row r="109" spans="1:16" x14ac:dyDescent="0.3">
      <c r="A109" t="s">
        <v>57</v>
      </c>
      <c r="B109" t="s">
        <v>20</v>
      </c>
      <c r="C109" t="s">
        <v>20</v>
      </c>
      <c r="D109" t="s">
        <v>11</v>
      </c>
      <c r="E109" t="s">
        <v>79</v>
      </c>
      <c r="F109" t="s">
        <v>9</v>
      </c>
      <c r="G109" s="15">
        <v>26.72</v>
      </c>
      <c r="H109" t="s">
        <v>27</v>
      </c>
      <c r="I109">
        <v>3</v>
      </c>
      <c r="J109" t="s">
        <v>48</v>
      </c>
      <c r="K109" t="s">
        <v>46</v>
      </c>
      <c r="L109" t="s">
        <v>45</v>
      </c>
      <c r="M109" t="s">
        <v>61</v>
      </c>
      <c r="N109" s="15">
        <v>30.93</v>
      </c>
      <c r="O109" s="16">
        <v>-13.6</v>
      </c>
      <c r="P109">
        <v>0</v>
      </c>
    </row>
    <row r="110" spans="1:16" x14ac:dyDescent="0.3">
      <c r="A110" t="s">
        <v>57</v>
      </c>
      <c r="B110" t="s">
        <v>20</v>
      </c>
      <c r="C110" t="s">
        <v>20</v>
      </c>
      <c r="D110" t="s">
        <v>14</v>
      </c>
      <c r="E110" t="s">
        <v>63</v>
      </c>
      <c r="F110" t="s">
        <v>9</v>
      </c>
      <c r="G110" s="15">
        <v>69.11</v>
      </c>
      <c r="H110" t="s">
        <v>26</v>
      </c>
      <c r="I110">
        <v>2</v>
      </c>
      <c r="J110" t="s">
        <v>48</v>
      </c>
      <c r="K110" t="s">
        <v>46</v>
      </c>
      <c r="L110" t="s">
        <v>45</v>
      </c>
      <c r="M110" t="s">
        <v>59</v>
      </c>
      <c r="N110" s="15">
        <v>65.16</v>
      </c>
      <c r="O110" s="16">
        <v>6.1</v>
      </c>
      <c r="P110">
        <v>0</v>
      </c>
    </row>
    <row r="111" spans="1:16" x14ac:dyDescent="0.3">
      <c r="A111" t="s">
        <v>57</v>
      </c>
      <c r="B111" t="s">
        <v>18</v>
      </c>
      <c r="C111" t="s">
        <v>18</v>
      </c>
      <c r="D111" t="s">
        <v>11</v>
      </c>
      <c r="E111" t="s">
        <v>70</v>
      </c>
      <c r="F111" t="s">
        <v>9</v>
      </c>
      <c r="G111" s="15">
        <v>27.79</v>
      </c>
      <c r="H111" t="s">
        <v>27</v>
      </c>
      <c r="I111">
        <v>3</v>
      </c>
      <c r="J111" t="s">
        <v>47</v>
      </c>
      <c r="K111" t="s">
        <v>46</v>
      </c>
      <c r="L111" t="s">
        <v>45</v>
      </c>
      <c r="M111" t="s">
        <v>72</v>
      </c>
      <c r="N111" s="15">
        <v>30.5</v>
      </c>
      <c r="O111" s="16">
        <v>-8.9</v>
      </c>
      <c r="P111">
        <v>0</v>
      </c>
    </row>
    <row r="112" spans="1:16" x14ac:dyDescent="0.3">
      <c r="A112" t="s">
        <v>65</v>
      </c>
      <c r="B112" t="s">
        <v>17</v>
      </c>
      <c r="C112" t="s">
        <v>17</v>
      </c>
      <c r="D112" t="s">
        <v>11</v>
      </c>
      <c r="E112" t="s">
        <v>70</v>
      </c>
      <c r="F112" t="s">
        <v>9</v>
      </c>
      <c r="G112" s="15">
        <v>29.32</v>
      </c>
      <c r="H112" t="s">
        <v>27</v>
      </c>
      <c r="I112">
        <v>3</v>
      </c>
      <c r="J112" t="s">
        <v>48</v>
      </c>
      <c r="K112" t="s">
        <v>45</v>
      </c>
      <c r="L112" t="s">
        <v>45</v>
      </c>
      <c r="M112" t="s">
        <v>67</v>
      </c>
      <c r="N112" s="15">
        <v>32.630000000000003</v>
      </c>
      <c r="O112" s="16">
        <v>-10.1</v>
      </c>
      <c r="P112">
        <v>0</v>
      </c>
    </row>
    <row r="113" spans="1:16" x14ac:dyDescent="0.3">
      <c r="A113" t="s">
        <v>60</v>
      </c>
      <c r="B113" t="s">
        <v>21</v>
      </c>
      <c r="C113" t="s">
        <v>62</v>
      </c>
      <c r="D113" t="s">
        <v>14</v>
      </c>
      <c r="E113" t="s">
        <v>71</v>
      </c>
      <c r="F113" t="s">
        <v>9</v>
      </c>
      <c r="G113" s="15">
        <v>70.69</v>
      </c>
      <c r="H113" t="s">
        <v>27</v>
      </c>
      <c r="I113">
        <v>3</v>
      </c>
      <c r="J113" t="s">
        <v>48</v>
      </c>
      <c r="K113" t="s">
        <v>46</v>
      </c>
      <c r="L113" t="s">
        <v>45</v>
      </c>
      <c r="M113" t="s">
        <v>64</v>
      </c>
      <c r="N113" s="15">
        <v>65.239999999999995</v>
      </c>
      <c r="O113" s="16">
        <v>8.4</v>
      </c>
      <c r="P113">
        <v>0</v>
      </c>
    </row>
    <row r="114" spans="1:16" x14ac:dyDescent="0.3">
      <c r="A114" t="s">
        <v>65</v>
      </c>
      <c r="B114" t="s">
        <v>20</v>
      </c>
      <c r="C114" t="s">
        <v>20</v>
      </c>
      <c r="D114" t="s">
        <v>8</v>
      </c>
      <c r="E114" t="s">
        <v>74</v>
      </c>
      <c r="F114" t="s">
        <v>9</v>
      </c>
      <c r="G114" s="15">
        <v>63.65</v>
      </c>
      <c r="H114" t="s">
        <v>26</v>
      </c>
      <c r="I114">
        <v>2</v>
      </c>
      <c r="J114" t="s">
        <v>47</v>
      </c>
      <c r="K114" t="s">
        <v>45</v>
      </c>
      <c r="L114" t="s">
        <v>45</v>
      </c>
      <c r="M114" t="s">
        <v>59</v>
      </c>
      <c r="N114" s="15">
        <v>91.13</v>
      </c>
      <c r="O114" s="16">
        <v>-30.2</v>
      </c>
      <c r="P114">
        <v>0</v>
      </c>
    </row>
    <row r="115" spans="1:16" x14ac:dyDescent="0.3">
      <c r="A115" t="s">
        <v>57</v>
      </c>
      <c r="B115" t="s">
        <v>19</v>
      </c>
      <c r="C115" t="s">
        <v>19</v>
      </c>
      <c r="D115" t="s">
        <v>12</v>
      </c>
      <c r="E115" t="s">
        <v>80</v>
      </c>
      <c r="F115" t="s">
        <v>13</v>
      </c>
      <c r="G115" s="15">
        <v>144.31</v>
      </c>
      <c r="H115" t="s">
        <v>26</v>
      </c>
      <c r="I115">
        <v>2</v>
      </c>
      <c r="J115" t="s">
        <v>47</v>
      </c>
      <c r="K115" t="s">
        <v>45</v>
      </c>
      <c r="L115" t="s">
        <v>45</v>
      </c>
      <c r="M115" t="s">
        <v>64</v>
      </c>
      <c r="N115" s="15">
        <v>162.72999999999999</v>
      </c>
      <c r="O115" s="16">
        <v>-11.3</v>
      </c>
      <c r="P115">
        <v>0</v>
      </c>
    </row>
    <row r="116" spans="1:16" x14ac:dyDescent="0.3">
      <c r="A116" t="s">
        <v>65</v>
      </c>
      <c r="B116" t="s">
        <v>17</v>
      </c>
      <c r="C116" t="s">
        <v>17</v>
      </c>
      <c r="D116" t="s">
        <v>10</v>
      </c>
      <c r="E116" t="s">
        <v>58</v>
      </c>
      <c r="F116" t="s">
        <v>9</v>
      </c>
      <c r="G116" s="15">
        <v>158.53</v>
      </c>
      <c r="H116" t="s">
        <v>26</v>
      </c>
      <c r="I116">
        <v>2</v>
      </c>
      <c r="J116" t="s">
        <v>47</v>
      </c>
      <c r="K116" t="s">
        <v>45</v>
      </c>
      <c r="L116" t="s">
        <v>45</v>
      </c>
      <c r="M116" t="s">
        <v>68</v>
      </c>
      <c r="N116" s="15">
        <v>166.29</v>
      </c>
      <c r="O116" s="16">
        <v>-4.7</v>
      </c>
      <c r="P116">
        <v>0</v>
      </c>
    </row>
    <row r="117" spans="1:16" x14ac:dyDescent="0.3">
      <c r="A117" t="s">
        <v>65</v>
      </c>
      <c r="B117" t="s">
        <v>22</v>
      </c>
      <c r="C117" t="s">
        <v>22</v>
      </c>
      <c r="D117" t="s">
        <v>15</v>
      </c>
      <c r="E117" t="s">
        <v>75</v>
      </c>
      <c r="F117" t="s">
        <v>9</v>
      </c>
      <c r="G117" s="15">
        <v>124.31</v>
      </c>
      <c r="H117" t="s">
        <v>25</v>
      </c>
      <c r="I117">
        <v>1</v>
      </c>
      <c r="J117" t="s">
        <v>48</v>
      </c>
      <c r="K117" t="s">
        <v>45</v>
      </c>
      <c r="L117" t="s">
        <v>45</v>
      </c>
      <c r="M117" t="s">
        <v>68</v>
      </c>
      <c r="N117" s="15">
        <v>126.9</v>
      </c>
      <c r="O117" s="16">
        <v>-2</v>
      </c>
      <c r="P117">
        <v>0</v>
      </c>
    </row>
    <row r="118" spans="1:16" x14ac:dyDescent="0.3">
      <c r="A118" t="s">
        <v>65</v>
      </c>
      <c r="B118" t="s">
        <v>22</v>
      </c>
      <c r="C118" t="s">
        <v>22</v>
      </c>
      <c r="D118" t="s">
        <v>11</v>
      </c>
      <c r="E118" t="s">
        <v>79</v>
      </c>
      <c r="F118" t="s">
        <v>9</v>
      </c>
      <c r="G118" s="15">
        <v>24.92</v>
      </c>
      <c r="H118" t="s">
        <v>27</v>
      </c>
      <c r="I118">
        <v>3</v>
      </c>
      <c r="J118" t="s">
        <v>48</v>
      </c>
      <c r="K118" t="s">
        <v>45</v>
      </c>
      <c r="L118" t="s">
        <v>45</v>
      </c>
      <c r="M118" t="s">
        <v>67</v>
      </c>
      <c r="N118" s="15">
        <v>33.39</v>
      </c>
      <c r="O118" s="16">
        <v>-25.4</v>
      </c>
      <c r="P118">
        <v>0</v>
      </c>
    </row>
    <row r="119" spans="1:16" x14ac:dyDescent="0.3">
      <c r="A119" t="s">
        <v>57</v>
      </c>
      <c r="B119" t="s">
        <v>22</v>
      </c>
      <c r="C119" t="s">
        <v>22</v>
      </c>
      <c r="D119" t="s">
        <v>14</v>
      </c>
      <c r="E119" t="s">
        <v>71</v>
      </c>
      <c r="F119" t="s">
        <v>9</v>
      </c>
      <c r="G119" s="15">
        <v>66.13</v>
      </c>
      <c r="H119" t="s">
        <v>26</v>
      </c>
      <c r="I119">
        <v>2</v>
      </c>
      <c r="J119" t="s">
        <v>48</v>
      </c>
      <c r="K119" t="s">
        <v>46</v>
      </c>
      <c r="L119" t="s">
        <v>46</v>
      </c>
      <c r="M119" t="s">
        <v>68</v>
      </c>
      <c r="N119" s="15">
        <v>65.77</v>
      </c>
      <c r="O119" s="16">
        <v>0.5</v>
      </c>
      <c r="P119">
        <v>0</v>
      </c>
    </row>
    <row r="120" spans="1:16" x14ac:dyDescent="0.3">
      <c r="A120" t="s">
        <v>60</v>
      </c>
      <c r="B120" t="s">
        <v>19</v>
      </c>
      <c r="C120" t="s">
        <v>19</v>
      </c>
      <c r="D120" t="s">
        <v>11</v>
      </c>
      <c r="E120" t="s">
        <v>70</v>
      </c>
      <c r="F120" t="s">
        <v>9</v>
      </c>
      <c r="G120" s="15">
        <v>25.6</v>
      </c>
      <c r="H120" t="s">
        <v>27</v>
      </c>
      <c r="I120">
        <v>3</v>
      </c>
      <c r="J120" t="s">
        <v>48</v>
      </c>
      <c r="K120" t="s">
        <v>46</v>
      </c>
      <c r="L120" t="s">
        <v>45</v>
      </c>
      <c r="M120" t="s">
        <v>78</v>
      </c>
      <c r="N120" s="15">
        <v>31.4</v>
      </c>
      <c r="O120" s="16">
        <v>-18.5</v>
      </c>
      <c r="P120">
        <v>0</v>
      </c>
    </row>
    <row r="121" spans="1:16" x14ac:dyDescent="0.3">
      <c r="A121" t="s">
        <v>57</v>
      </c>
      <c r="B121" t="s">
        <v>19</v>
      </c>
      <c r="C121" t="s">
        <v>19</v>
      </c>
      <c r="D121" t="s">
        <v>12</v>
      </c>
      <c r="E121" t="s">
        <v>66</v>
      </c>
      <c r="F121" t="s">
        <v>13</v>
      </c>
      <c r="G121" s="15">
        <v>131.12</v>
      </c>
      <c r="H121" t="s">
        <v>26</v>
      </c>
      <c r="I121">
        <v>2</v>
      </c>
      <c r="J121" t="s">
        <v>48</v>
      </c>
      <c r="K121" t="s">
        <v>46</v>
      </c>
      <c r="L121" t="s">
        <v>46</v>
      </c>
      <c r="M121" t="s">
        <v>59</v>
      </c>
      <c r="N121" s="15">
        <v>170.56</v>
      </c>
      <c r="O121" s="16">
        <v>-23.1</v>
      </c>
      <c r="P121">
        <v>0</v>
      </c>
    </row>
    <row r="122" spans="1:16" x14ac:dyDescent="0.3">
      <c r="A122" t="s">
        <v>57</v>
      </c>
      <c r="B122" t="s">
        <v>22</v>
      </c>
      <c r="C122" t="s">
        <v>22</v>
      </c>
      <c r="D122" t="s">
        <v>14</v>
      </c>
      <c r="E122" t="s">
        <v>71</v>
      </c>
      <c r="F122" t="s">
        <v>9</v>
      </c>
      <c r="G122" s="15">
        <v>61.78</v>
      </c>
      <c r="H122" t="s">
        <v>26</v>
      </c>
      <c r="I122">
        <v>2</v>
      </c>
      <c r="J122" t="s">
        <v>47</v>
      </c>
      <c r="K122" t="s">
        <v>46</v>
      </c>
      <c r="L122" t="s">
        <v>45</v>
      </c>
      <c r="M122" t="s">
        <v>64</v>
      </c>
      <c r="N122" s="15">
        <v>65.77</v>
      </c>
      <c r="O122" s="16">
        <v>-6.1</v>
      </c>
      <c r="P122">
        <v>0</v>
      </c>
    </row>
    <row r="123" spans="1:16" x14ac:dyDescent="0.3">
      <c r="A123" t="s">
        <v>65</v>
      </c>
      <c r="B123" t="s">
        <v>17</v>
      </c>
      <c r="C123" t="s">
        <v>17</v>
      </c>
      <c r="D123" t="s">
        <v>8</v>
      </c>
      <c r="E123" t="s">
        <v>73</v>
      </c>
      <c r="F123" t="s">
        <v>9</v>
      </c>
      <c r="G123" s="15">
        <v>91.41</v>
      </c>
      <c r="H123" t="s">
        <v>26</v>
      </c>
      <c r="I123">
        <v>2</v>
      </c>
      <c r="J123" t="s">
        <v>44</v>
      </c>
      <c r="K123" t="s">
        <v>45</v>
      </c>
      <c r="L123" t="s">
        <v>45</v>
      </c>
      <c r="M123" t="s">
        <v>64</v>
      </c>
      <c r="N123" s="15">
        <v>88.05</v>
      </c>
      <c r="O123" s="16">
        <v>3.8</v>
      </c>
      <c r="P123">
        <v>0</v>
      </c>
    </row>
    <row r="124" spans="1:16" x14ac:dyDescent="0.3">
      <c r="A124" t="s">
        <v>65</v>
      </c>
      <c r="B124" t="s">
        <v>22</v>
      </c>
      <c r="C124" t="s">
        <v>22</v>
      </c>
      <c r="D124" t="s">
        <v>8</v>
      </c>
      <c r="E124" t="s">
        <v>74</v>
      </c>
      <c r="F124" t="s">
        <v>9</v>
      </c>
      <c r="G124" s="15">
        <v>70.86</v>
      </c>
      <c r="H124" t="s">
        <v>26</v>
      </c>
      <c r="I124">
        <v>2</v>
      </c>
      <c r="J124" t="s">
        <v>47</v>
      </c>
      <c r="K124" t="s">
        <v>45</v>
      </c>
      <c r="L124" t="s">
        <v>45</v>
      </c>
      <c r="M124" t="s">
        <v>78</v>
      </c>
      <c r="N124" s="15">
        <v>91.13</v>
      </c>
      <c r="O124" s="16">
        <v>-22.2</v>
      </c>
      <c r="P124">
        <v>0</v>
      </c>
    </row>
    <row r="125" spans="1:16" x14ac:dyDescent="0.3">
      <c r="A125" t="s">
        <v>57</v>
      </c>
      <c r="B125" t="s">
        <v>19</v>
      </c>
      <c r="C125" t="s">
        <v>19</v>
      </c>
      <c r="D125" t="s">
        <v>12</v>
      </c>
      <c r="E125" t="s">
        <v>80</v>
      </c>
      <c r="F125" t="s">
        <v>13</v>
      </c>
      <c r="G125" s="15">
        <v>178.8</v>
      </c>
      <c r="H125" t="s">
        <v>26</v>
      </c>
      <c r="I125">
        <v>2</v>
      </c>
      <c r="J125" t="s">
        <v>48</v>
      </c>
      <c r="K125" t="s">
        <v>45</v>
      </c>
      <c r="L125" t="s">
        <v>45</v>
      </c>
      <c r="M125" t="s">
        <v>59</v>
      </c>
      <c r="N125" s="15">
        <v>162.72999999999999</v>
      </c>
      <c r="O125" s="16">
        <v>9.9</v>
      </c>
      <c r="P125">
        <v>0</v>
      </c>
    </row>
    <row r="126" spans="1:16" x14ac:dyDescent="0.3">
      <c r="A126" t="s">
        <v>65</v>
      </c>
      <c r="B126" t="s">
        <v>21</v>
      </c>
      <c r="C126" t="s">
        <v>62</v>
      </c>
      <c r="D126" t="s">
        <v>10</v>
      </c>
      <c r="E126" t="s">
        <v>58</v>
      </c>
      <c r="F126" t="s">
        <v>9</v>
      </c>
      <c r="G126" s="15">
        <v>166.39</v>
      </c>
      <c r="H126" t="s">
        <v>26</v>
      </c>
      <c r="I126">
        <v>2</v>
      </c>
      <c r="J126" t="s">
        <v>47</v>
      </c>
      <c r="K126" t="s">
        <v>46</v>
      </c>
      <c r="L126" t="s">
        <v>45</v>
      </c>
      <c r="M126" t="s">
        <v>61</v>
      </c>
      <c r="N126" s="15">
        <v>166.29</v>
      </c>
      <c r="O126" s="16">
        <v>0.1</v>
      </c>
      <c r="P126">
        <v>0</v>
      </c>
    </row>
    <row r="127" spans="1:16" x14ac:dyDescent="0.3">
      <c r="A127" t="s">
        <v>57</v>
      </c>
      <c r="B127" t="s">
        <v>21</v>
      </c>
      <c r="C127" t="s">
        <v>62</v>
      </c>
      <c r="D127" t="s">
        <v>10</v>
      </c>
      <c r="E127" t="s">
        <v>69</v>
      </c>
      <c r="F127" t="s">
        <v>9</v>
      </c>
      <c r="G127" s="15">
        <v>180.27</v>
      </c>
      <c r="H127" t="s">
        <v>26</v>
      </c>
      <c r="I127">
        <v>2</v>
      </c>
      <c r="J127" t="s">
        <v>48</v>
      </c>
      <c r="K127" t="s">
        <v>45</v>
      </c>
      <c r="L127" t="s">
        <v>46</v>
      </c>
      <c r="M127" t="s">
        <v>64</v>
      </c>
      <c r="N127" s="15">
        <v>150.38999999999999</v>
      </c>
      <c r="O127" s="16">
        <v>19.899999999999999</v>
      </c>
      <c r="P127">
        <v>1</v>
      </c>
    </row>
    <row r="128" spans="1:16" x14ac:dyDescent="0.3">
      <c r="A128" t="s">
        <v>57</v>
      </c>
      <c r="B128" t="s">
        <v>22</v>
      </c>
      <c r="C128" t="s">
        <v>22</v>
      </c>
      <c r="D128" t="s">
        <v>14</v>
      </c>
      <c r="E128" t="s">
        <v>63</v>
      </c>
      <c r="F128" t="s">
        <v>9</v>
      </c>
      <c r="G128" s="15">
        <v>62.97</v>
      </c>
      <c r="H128" t="s">
        <v>26</v>
      </c>
      <c r="I128">
        <v>2</v>
      </c>
      <c r="J128" t="s">
        <v>47</v>
      </c>
      <c r="K128" t="s">
        <v>46</v>
      </c>
      <c r="L128" t="s">
        <v>45</v>
      </c>
      <c r="M128" t="s">
        <v>78</v>
      </c>
      <c r="N128" s="15">
        <v>65.16</v>
      </c>
      <c r="O128" s="16">
        <v>-3.4</v>
      </c>
      <c r="P128">
        <v>0</v>
      </c>
    </row>
    <row r="129" spans="1:16" x14ac:dyDescent="0.3">
      <c r="A129" t="s">
        <v>57</v>
      </c>
      <c r="B129" t="s">
        <v>21</v>
      </c>
      <c r="C129" t="s">
        <v>62</v>
      </c>
      <c r="D129" t="s">
        <v>8</v>
      </c>
      <c r="E129" t="s">
        <v>73</v>
      </c>
      <c r="F129" t="s">
        <v>9</v>
      </c>
      <c r="G129" s="15">
        <v>98.47</v>
      </c>
      <c r="H129" t="s">
        <v>26</v>
      </c>
      <c r="I129">
        <v>2</v>
      </c>
      <c r="J129" t="s">
        <v>48</v>
      </c>
      <c r="K129" t="s">
        <v>46</v>
      </c>
      <c r="L129" t="s">
        <v>45</v>
      </c>
      <c r="M129" t="s">
        <v>61</v>
      </c>
      <c r="N129" s="15">
        <v>86.06</v>
      </c>
      <c r="O129" s="16">
        <v>14.4</v>
      </c>
      <c r="P129">
        <v>0</v>
      </c>
    </row>
    <row r="130" spans="1:16" x14ac:dyDescent="0.3">
      <c r="A130" t="s">
        <v>57</v>
      </c>
      <c r="B130" t="s">
        <v>21</v>
      </c>
      <c r="C130" t="s">
        <v>62</v>
      </c>
      <c r="D130" t="s">
        <v>8</v>
      </c>
      <c r="E130" t="s">
        <v>74</v>
      </c>
      <c r="F130" t="s">
        <v>9</v>
      </c>
      <c r="G130" s="15">
        <v>77.23</v>
      </c>
      <c r="H130" t="s">
        <v>26</v>
      </c>
      <c r="I130">
        <v>2</v>
      </c>
      <c r="J130" t="s">
        <v>48</v>
      </c>
      <c r="K130" t="s">
        <v>46</v>
      </c>
      <c r="L130" t="s">
        <v>45</v>
      </c>
      <c r="M130" t="s">
        <v>68</v>
      </c>
      <c r="N130" s="15">
        <v>83.41</v>
      </c>
      <c r="O130" s="16">
        <v>-7.4</v>
      </c>
      <c r="P130">
        <v>0</v>
      </c>
    </row>
    <row r="131" spans="1:16" x14ac:dyDescent="0.3">
      <c r="A131" t="s">
        <v>60</v>
      </c>
      <c r="B131" t="s">
        <v>17</v>
      </c>
      <c r="C131" t="s">
        <v>17</v>
      </c>
      <c r="D131" t="s">
        <v>14</v>
      </c>
      <c r="E131" t="s">
        <v>71</v>
      </c>
      <c r="F131" t="s">
        <v>9</v>
      </c>
      <c r="G131" s="15">
        <v>55.78</v>
      </c>
      <c r="H131" t="s">
        <v>27</v>
      </c>
      <c r="I131">
        <v>3</v>
      </c>
      <c r="J131" t="s">
        <v>47</v>
      </c>
      <c r="K131" t="s">
        <v>46</v>
      </c>
      <c r="L131" t="s">
        <v>45</v>
      </c>
      <c r="M131" t="s">
        <v>61</v>
      </c>
      <c r="N131" s="15">
        <v>65.239999999999995</v>
      </c>
      <c r="O131" s="16">
        <v>-14.5</v>
      </c>
      <c r="P131">
        <v>0</v>
      </c>
    </row>
    <row r="132" spans="1:16" x14ac:dyDescent="0.3">
      <c r="A132" t="s">
        <v>65</v>
      </c>
      <c r="B132" t="s">
        <v>21</v>
      </c>
      <c r="C132" t="s">
        <v>62</v>
      </c>
      <c r="D132" t="s">
        <v>15</v>
      </c>
      <c r="E132" t="s">
        <v>76</v>
      </c>
      <c r="F132" t="s">
        <v>9</v>
      </c>
      <c r="G132" s="15">
        <v>137.59</v>
      </c>
      <c r="H132" t="s">
        <v>25</v>
      </c>
      <c r="I132">
        <v>1</v>
      </c>
      <c r="J132" t="s">
        <v>47</v>
      </c>
      <c r="K132" t="s">
        <v>45</v>
      </c>
      <c r="L132" t="s">
        <v>45</v>
      </c>
      <c r="M132" t="s">
        <v>72</v>
      </c>
      <c r="N132" s="15">
        <v>126.51</v>
      </c>
      <c r="O132" s="16">
        <v>8.8000000000000007</v>
      </c>
      <c r="P132">
        <v>0</v>
      </c>
    </row>
    <row r="133" spans="1:16" x14ac:dyDescent="0.3">
      <c r="A133" t="s">
        <v>65</v>
      </c>
      <c r="B133" t="s">
        <v>17</v>
      </c>
      <c r="C133" t="s">
        <v>17</v>
      </c>
      <c r="D133" t="s">
        <v>8</v>
      </c>
      <c r="E133" t="s">
        <v>74</v>
      </c>
      <c r="F133" t="s">
        <v>9</v>
      </c>
      <c r="G133" s="15">
        <v>107.98</v>
      </c>
      <c r="H133" t="s">
        <v>27</v>
      </c>
      <c r="I133">
        <v>3</v>
      </c>
      <c r="J133" t="s">
        <v>47</v>
      </c>
      <c r="K133" t="s">
        <v>45</v>
      </c>
      <c r="L133" t="s">
        <v>45</v>
      </c>
      <c r="M133" t="s">
        <v>67</v>
      </c>
      <c r="N133" s="15">
        <v>91.13</v>
      </c>
      <c r="O133" s="16">
        <v>18.5</v>
      </c>
      <c r="P133">
        <v>1</v>
      </c>
    </row>
    <row r="134" spans="1:16" x14ac:dyDescent="0.3">
      <c r="A134" t="s">
        <v>57</v>
      </c>
      <c r="B134" t="s">
        <v>21</v>
      </c>
      <c r="C134" t="s">
        <v>62</v>
      </c>
      <c r="D134" t="s">
        <v>15</v>
      </c>
      <c r="E134" t="s">
        <v>76</v>
      </c>
      <c r="F134" t="s">
        <v>9</v>
      </c>
      <c r="G134" s="15">
        <v>102.84</v>
      </c>
      <c r="H134" t="s">
        <v>26</v>
      </c>
      <c r="I134">
        <v>2</v>
      </c>
      <c r="J134" t="s">
        <v>48</v>
      </c>
      <c r="K134" t="s">
        <v>46</v>
      </c>
      <c r="L134" t="s">
        <v>45</v>
      </c>
      <c r="M134" t="s">
        <v>67</v>
      </c>
      <c r="N134" s="15">
        <v>118.59</v>
      </c>
      <c r="O134" s="16">
        <v>-13.3</v>
      </c>
      <c r="P134">
        <v>0</v>
      </c>
    </row>
    <row r="135" spans="1:16" x14ac:dyDescent="0.3">
      <c r="A135" t="s">
        <v>65</v>
      </c>
      <c r="B135" t="s">
        <v>17</v>
      </c>
      <c r="C135" t="s">
        <v>17</v>
      </c>
      <c r="D135" t="s">
        <v>8</v>
      </c>
      <c r="E135" t="s">
        <v>74</v>
      </c>
      <c r="F135" t="s">
        <v>9</v>
      </c>
      <c r="G135" s="15">
        <v>87.56</v>
      </c>
      <c r="H135" t="s">
        <v>25</v>
      </c>
      <c r="I135">
        <v>1</v>
      </c>
      <c r="J135" t="s">
        <v>47</v>
      </c>
      <c r="K135" t="s">
        <v>46</v>
      </c>
      <c r="L135" t="s">
        <v>46</v>
      </c>
      <c r="M135" t="s">
        <v>67</v>
      </c>
      <c r="N135" s="15">
        <v>91.13</v>
      </c>
      <c r="O135" s="16">
        <v>-3.9</v>
      </c>
      <c r="P135">
        <v>0</v>
      </c>
    </row>
    <row r="136" spans="1:16" x14ac:dyDescent="0.3">
      <c r="A136" t="s">
        <v>57</v>
      </c>
      <c r="B136" t="s">
        <v>21</v>
      </c>
      <c r="C136" t="s">
        <v>62</v>
      </c>
      <c r="D136" t="s">
        <v>8</v>
      </c>
      <c r="E136" t="s">
        <v>74</v>
      </c>
      <c r="F136" t="s">
        <v>9</v>
      </c>
      <c r="G136" s="15">
        <v>96.95</v>
      </c>
      <c r="H136" t="s">
        <v>26</v>
      </c>
      <c r="I136">
        <v>2</v>
      </c>
      <c r="J136" t="s">
        <v>48</v>
      </c>
      <c r="K136" t="s">
        <v>45</v>
      </c>
      <c r="L136" t="s">
        <v>45</v>
      </c>
      <c r="M136" t="s">
        <v>64</v>
      </c>
      <c r="N136" s="15">
        <v>83.41</v>
      </c>
      <c r="O136" s="16">
        <v>16.2</v>
      </c>
      <c r="P136">
        <v>1</v>
      </c>
    </row>
    <row r="137" spans="1:16" x14ac:dyDescent="0.3">
      <c r="A137" t="s">
        <v>60</v>
      </c>
      <c r="B137" t="s">
        <v>21</v>
      </c>
      <c r="C137" t="s">
        <v>62</v>
      </c>
      <c r="D137" t="s">
        <v>14</v>
      </c>
      <c r="E137" t="s">
        <v>63</v>
      </c>
      <c r="F137" t="s">
        <v>9</v>
      </c>
      <c r="G137" s="15">
        <v>62.42</v>
      </c>
      <c r="H137" t="s">
        <v>26</v>
      </c>
      <c r="I137">
        <v>2</v>
      </c>
      <c r="J137" t="s">
        <v>48</v>
      </c>
      <c r="K137" t="s">
        <v>45</v>
      </c>
      <c r="L137" t="s">
        <v>45</v>
      </c>
      <c r="M137" t="s">
        <v>59</v>
      </c>
      <c r="N137" s="15">
        <v>66.680000000000007</v>
      </c>
      <c r="O137" s="16">
        <v>-6.4</v>
      </c>
      <c r="P137">
        <v>0</v>
      </c>
    </row>
    <row r="138" spans="1:16" x14ac:dyDescent="0.3">
      <c r="A138" t="s">
        <v>57</v>
      </c>
      <c r="B138" t="s">
        <v>21</v>
      </c>
      <c r="C138" t="s">
        <v>62</v>
      </c>
      <c r="D138" t="s">
        <v>12</v>
      </c>
      <c r="E138" t="s">
        <v>66</v>
      </c>
      <c r="F138" t="s">
        <v>13</v>
      </c>
      <c r="G138" s="15">
        <v>200</v>
      </c>
      <c r="H138" t="s">
        <v>25</v>
      </c>
      <c r="I138">
        <v>1</v>
      </c>
      <c r="J138" t="s">
        <v>48</v>
      </c>
      <c r="K138" t="s">
        <v>45</v>
      </c>
      <c r="L138" t="s">
        <v>46</v>
      </c>
      <c r="M138" t="s">
        <v>61</v>
      </c>
      <c r="N138" s="15">
        <v>170.56</v>
      </c>
      <c r="O138" s="16">
        <v>17.3</v>
      </c>
      <c r="P138">
        <v>1</v>
      </c>
    </row>
    <row r="139" spans="1:16" x14ac:dyDescent="0.3">
      <c r="A139" t="s">
        <v>65</v>
      </c>
      <c r="B139" t="s">
        <v>20</v>
      </c>
      <c r="C139" t="s">
        <v>20</v>
      </c>
      <c r="D139" t="s">
        <v>12</v>
      </c>
      <c r="E139" t="s">
        <v>80</v>
      </c>
      <c r="F139" t="s">
        <v>13</v>
      </c>
      <c r="G139" s="15">
        <v>185.2</v>
      </c>
      <c r="H139" t="s">
        <v>26</v>
      </c>
      <c r="I139">
        <v>2</v>
      </c>
      <c r="J139" t="s">
        <v>47</v>
      </c>
      <c r="K139" t="s">
        <v>45</v>
      </c>
      <c r="L139" t="s">
        <v>45</v>
      </c>
      <c r="M139" t="s">
        <v>72</v>
      </c>
      <c r="N139" s="15">
        <v>176.57</v>
      </c>
      <c r="O139" s="16">
        <v>4.9000000000000004</v>
      </c>
      <c r="P139">
        <v>0</v>
      </c>
    </row>
    <row r="140" spans="1:16" x14ac:dyDescent="0.3">
      <c r="A140" t="s">
        <v>65</v>
      </c>
      <c r="B140" t="s">
        <v>17</v>
      </c>
      <c r="C140" t="s">
        <v>17</v>
      </c>
      <c r="D140" t="s">
        <v>15</v>
      </c>
      <c r="E140" t="s">
        <v>76</v>
      </c>
      <c r="F140" t="s">
        <v>9</v>
      </c>
      <c r="G140" s="15">
        <v>119.13</v>
      </c>
      <c r="H140" t="s">
        <v>26</v>
      </c>
      <c r="I140">
        <v>2</v>
      </c>
      <c r="J140" t="s">
        <v>48</v>
      </c>
      <c r="K140" t="s">
        <v>45</v>
      </c>
      <c r="L140" t="s">
        <v>45</v>
      </c>
      <c r="M140" t="s">
        <v>64</v>
      </c>
      <c r="N140" s="15">
        <v>126.51</v>
      </c>
      <c r="O140" s="16">
        <v>-5.8</v>
      </c>
      <c r="P140">
        <v>0</v>
      </c>
    </row>
    <row r="141" spans="1:16" x14ac:dyDescent="0.3">
      <c r="A141" t="s">
        <v>60</v>
      </c>
      <c r="B141" t="s">
        <v>19</v>
      </c>
      <c r="C141" t="s">
        <v>19</v>
      </c>
      <c r="D141" t="s">
        <v>10</v>
      </c>
      <c r="E141" t="s">
        <v>69</v>
      </c>
      <c r="F141" t="s">
        <v>9</v>
      </c>
      <c r="G141" s="15">
        <v>171.37</v>
      </c>
      <c r="H141" t="s">
        <v>25</v>
      </c>
      <c r="I141">
        <v>1</v>
      </c>
      <c r="J141" t="s">
        <v>48</v>
      </c>
      <c r="K141" t="s">
        <v>45</v>
      </c>
      <c r="L141" t="s">
        <v>45</v>
      </c>
      <c r="M141" t="s">
        <v>67</v>
      </c>
      <c r="N141" s="15">
        <v>158.6</v>
      </c>
      <c r="O141" s="16">
        <v>8.1</v>
      </c>
      <c r="P141">
        <v>0</v>
      </c>
    </row>
    <row r="142" spans="1:16" x14ac:dyDescent="0.3">
      <c r="A142" t="s">
        <v>65</v>
      </c>
      <c r="B142" t="s">
        <v>20</v>
      </c>
      <c r="C142" t="s">
        <v>20</v>
      </c>
      <c r="D142" t="s">
        <v>8</v>
      </c>
      <c r="E142" t="s">
        <v>73</v>
      </c>
      <c r="F142" t="s">
        <v>9</v>
      </c>
      <c r="G142" s="15">
        <v>75.14</v>
      </c>
      <c r="H142" t="s">
        <v>25</v>
      </c>
      <c r="I142">
        <v>1</v>
      </c>
      <c r="J142" t="s">
        <v>47</v>
      </c>
      <c r="K142" t="s">
        <v>45</v>
      </c>
      <c r="L142" t="s">
        <v>45</v>
      </c>
      <c r="M142" t="s">
        <v>59</v>
      </c>
      <c r="N142" s="15">
        <v>88.05</v>
      </c>
      <c r="O142" s="16">
        <v>-14.7</v>
      </c>
      <c r="P142">
        <v>0</v>
      </c>
    </row>
    <row r="143" spans="1:16" x14ac:dyDescent="0.3">
      <c r="A143" t="s">
        <v>57</v>
      </c>
      <c r="B143" t="s">
        <v>21</v>
      </c>
      <c r="C143" t="s">
        <v>62</v>
      </c>
      <c r="D143" t="s">
        <v>10</v>
      </c>
      <c r="E143" t="s">
        <v>58</v>
      </c>
      <c r="F143" t="s">
        <v>9</v>
      </c>
      <c r="G143" s="15">
        <v>153.08000000000001</v>
      </c>
      <c r="H143" t="s">
        <v>27</v>
      </c>
      <c r="I143">
        <v>3</v>
      </c>
      <c r="J143" t="s">
        <v>48</v>
      </c>
      <c r="K143" t="s">
        <v>45</v>
      </c>
      <c r="L143" t="s">
        <v>45</v>
      </c>
      <c r="M143" t="s">
        <v>59</v>
      </c>
      <c r="N143" s="15">
        <v>151.19</v>
      </c>
      <c r="O143" s="16">
        <v>1.3</v>
      </c>
      <c r="P143">
        <v>0</v>
      </c>
    </row>
    <row r="144" spans="1:16" x14ac:dyDescent="0.3">
      <c r="A144" t="s">
        <v>57</v>
      </c>
      <c r="B144" t="s">
        <v>22</v>
      </c>
      <c r="C144" t="s">
        <v>22</v>
      </c>
      <c r="D144" t="s">
        <v>8</v>
      </c>
      <c r="E144" t="s">
        <v>73</v>
      </c>
      <c r="F144" t="s">
        <v>9</v>
      </c>
      <c r="G144" s="15">
        <v>88.57</v>
      </c>
      <c r="H144" t="s">
        <v>26</v>
      </c>
      <c r="I144">
        <v>2</v>
      </c>
      <c r="J144" t="s">
        <v>47</v>
      </c>
      <c r="K144" t="s">
        <v>46</v>
      </c>
      <c r="L144" t="s">
        <v>45</v>
      </c>
      <c r="M144" t="s">
        <v>72</v>
      </c>
      <c r="N144" s="15">
        <v>86.06</v>
      </c>
      <c r="O144" s="16">
        <v>2.9</v>
      </c>
      <c r="P144">
        <v>0</v>
      </c>
    </row>
    <row r="145" spans="1:16" x14ac:dyDescent="0.3">
      <c r="A145" t="s">
        <v>57</v>
      </c>
      <c r="B145" t="s">
        <v>20</v>
      </c>
      <c r="C145" t="s">
        <v>20</v>
      </c>
      <c r="D145" t="s">
        <v>14</v>
      </c>
      <c r="E145" t="s">
        <v>63</v>
      </c>
      <c r="F145" t="s">
        <v>9</v>
      </c>
      <c r="G145" s="15">
        <v>75.95</v>
      </c>
      <c r="H145" t="s">
        <v>25</v>
      </c>
      <c r="I145">
        <v>1</v>
      </c>
      <c r="J145" t="s">
        <v>48</v>
      </c>
      <c r="K145" t="s">
        <v>45</v>
      </c>
      <c r="L145" t="s">
        <v>45</v>
      </c>
      <c r="M145" t="s">
        <v>64</v>
      </c>
      <c r="N145" s="15">
        <v>65.16</v>
      </c>
      <c r="O145" s="16">
        <v>16.600000000000001</v>
      </c>
      <c r="P145">
        <v>1</v>
      </c>
    </row>
    <row r="146" spans="1:16" x14ac:dyDescent="0.3">
      <c r="A146" t="s">
        <v>65</v>
      </c>
      <c r="B146" t="s">
        <v>19</v>
      </c>
      <c r="C146" t="s">
        <v>19</v>
      </c>
      <c r="D146" t="s">
        <v>12</v>
      </c>
      <c r="E146" t="s">
        <v>66</v>
      </c>
      <c r="F146" t="s">
        <v>13</v>
      </c>
      <c r="G146" s="15">
        <v>200</v>
      </c>
      <c r="H146" t="s">
        <v>25</v>
      </c>
      <c r="I146">
        <v>1</v>
      </c>
      <c r="J146" t="s">
        <v>44</v>
      </c>
      <c r="K146" t="s">
        <v>45</v>
      </c>
      <c r="L146" t="s">
        <v>46</v>
      </c>
      <c r="M146" t="s">
        <v>78</v>
      </c>
      <c r="N146" s="15">
        <v>178.49</v>
      </c>
      <c r="O146" s="16">
        <v>12.1</v>
      </c>
      <c r="P146">
        <v>0</v>
      </c>
    </row>
    <row r="147" spans="1:16" x14ac:dyDescent="0.3">
      <c r="A147" t="s">
        <v>57</v>
      </c>
      <c r="B147" t="s">
        <v>19</v>
      </c>
      <c r="C147" t="s">
        <v>19</v>
      </c>
      <c r="D147" t="s">
        <v>11</v>
      </c>
      <c r="E147" t="s">
        <v>79</v>
      </c>
      <c r="F147" t="s">
        <v>9</v>
      </c>
      <c r="G147" s="15">
        <v>37.25</v>
      </c>
      <c r="H147" t="s">
        <v>27</v>
      </c>
      <c r="I147">
        <v>3</v>
      </c>
      <c r="J147" t="s">
        <v>48</v>
      </c>
      <c r="K147" t="s">
        <v>45</v>
      </c>
      <c r="L147" t="s">
        <v>45</v>
      </c>
      <c r="M147" t="s">
        <v>67</v>
      </c>
      <c r="N147" s="15">
        <v>30.93</v>
      </c>
      <c r="O147" s="16">
        <v>20.399999999999999</v>
      </c>
      <c r="P147">
        <v>1</v>
      </c>
    </row>
    <row r="148" spans="1:16" x14ac:dyDescent="0.3">
      <c r="A148" t="s">
        <v>57</v>
      </c>
      <c r="B148" t="s">
        <v>20</v>
      </c>
      <c r="C148" t="s">
        <v>20</v>
      </c>
      <c r="D148" t="s">
        <v>8</v>
      </c>
      <c r="E148" t="s">
        <v>73</v>
      </c>
      <c r="F148" t="s">
        <v>9</v>
      </c>
      <c r="G148" s="15">
        <v>55.26</v>
      </c>
      <c r="H148" t="s">
        <v>26</v>
      </c>
      <c r="I148">
        <v>2</v>
      </c>
      <c r="J148" t="s">
        <v>48</v>
      </c>
      <c r="K148" t="s">
        <v>46</v>
      </c>
      <c r="L148" t="s">
        <v>45</v>
      </c>
      <c r="M148" t="s">
        <v>78</v>
      </c>
      <c r="N148" s="15">
        <v>86.06</v>
      </c>
      <c r="O148" s="16">
        <v>-35.799999999999997</v>
      </c>
      <c r="P148">
        <v>0</v>
      </c>
    </row>
    <row r="149" spans="1:16" x14ac:dyDescent="0.3">
      <c r="A149" t="s">
        <v>65</v>
      </c>
      <c r="B149" t="s">
        <v>21</v>
      </c>
      <c r="C149" t="s">
        <v>62</v>
      </c>
      <c r="D149" t="s">
        <v>8</v>
      </c>
      <c r="E149" t="s">
        <v>74</v>
      </c>
      <c r="F149" t="s">
        <v>9</v>
      </c>
      <c r="G149" s="15">
        <v>92.52</v>
      </c>
      <c r="H149" t="s">
        <v>27</v>
      </c>
      <c r="I149">
        <v>3</v>
      </c>
      <c r="J149" t="s">
        <v>48</v>
      </c>
      <c r="K149" t="s">
        <v>45</v>
      </c>
      <c r="L149" t="s">
        <v>45</v>
      </c>
      <c r="M149" t="s">
        <v>61</v>
      </c>
      <c r="N149" s="15">
        <v>91.13</v>
      </c>
      <c r="O149" s="16">
        <v>1.5</v>
      </c>
      <c r="P149">
        <v>0</v>
      </c>
    </row>
    <row r="150" spans="1:16" x14ac:dyDescent="0.3">
      <c r="A150" t="s">
        <v>60</v>
      </c>
      <c r="B150" t="s">
        <v>21</v>
      </c>
      <c r="C150" t="s">
        <v>62</v>
      </c>
      <c r="D150" t="s">
        <v>11</v>
      </c>
      <c r="E150" t="s">
        <v>79</v>
      </c>
      <c r="F150" t="s">
        <v>9</v>
      </c>
      <c r="G150" s="15">
        <v>27.7</v>
      </c>
      <c r="H150" t="s">
        <v>26</v>
      </c>
      <c r="I150">
        <v>2</v>
      </c>
      <c r="J150" t="s">
        <v>47</v>
      </c>
      <c r="K150" t="s">
        <v>45</v>
      </c>
      <c r="L150" t="s">
        <v>45</v>
      </c>
      <c r="M150" t="s">
        <v>59</v>
      </c>
      <c r="N150" s="15">
        <v>29.14</v>
      </c>
      <c r="O150" s="16">
        <v>-5</v>
      </c>
      <c r="P150">
        <v>0</v>
      </c>
    </row>
    <row r="151" spans="1:16" x14ac:dyDescent="0.3">
      <c r="A151" t="s">
        <v>57</v>
      </c>
      <c r="B151" t="s">
        <v>22</v>
      </c>
      <c r="C151" t="s">
        <v>22</v>
      </c>
      <c r="D151" t="s">
        <v>15</v>
      </c>
      <c r="E151" t="s">
        <v>76</v>
      </c>
      <c r="F151" t="s">
        <v>9</v>
      </c>
      <c r="G151" s="15">
        <v>125.45</v>
      </c>
      <c r="H151" t="s">
        <v>26</v>
      </c>
      <c r="I151">
        <v>2</v>
      </c>
      <c r="J151" t="s">
        <v>48</v>
      </c>
      <c r="K151" t="s">
        <v>45</v>
      </c>
      <c r="L151" t="s">
        <v>45</v>
      </c>
      <c r="M151" t="s">
        <v>78</v>
      </c>
      <c r="N151" s="15">
        <v>118.59</v>
      </c>
      <c r="O151" s="16">
        <v>5.8</v>
      </c>
      <c r="P151">
        <v>0</v>
      </c>
    </row>
    <row r="152" spans="1:16" x14ac:dyDescent="0.3">
      <c r="A152" t="s">
        <v>65</v>
      </c>
      <c r="B152" t="s">
        <v>22</v>
      </c>
      <c r="C152" t="s">
        <v>22</v>
      </c>
      <c r="D152" t="s">
        <v>15</v>
      </c>
      <c r="E152" t="s">
        <v>76</v>
      </c>
      <c r="F152" t="s">
        <v>9</v>
      </c>
      <c r="G152" s="15">
        <v>117.94</v>
      </c>
      <c r="H152" t="s">
        <v>27</v>
      </c>
      <c r="I152">
        <v>3</v>
      </c>
      <c r="J152" t="s">
        <v>47</v>
      </c>
      <c r="K152" t="s">
        <v>45</v>
      </c>
      <c r="L152" t="s">
        <v>45</v>
      </c>
      <c r="M152" t="s">
        <v>59</v>
      </c>
      <c r="N152" s="15">
        <v>126.51</v>
      </c>
      <c r="O152" s="16">
        <v>-6.8</v>
      </c>
      <c r="P152">
        <v>0</v>
      </c>
    </row>
    <row r="153" spans="1:16" x14ac:dyDescent="0.3">
      <c r="A153" t="s">
        <v>65</v>
      </c>
      <c r="B153" t="s">
        <v>17</v>
      </c>
      <c r="C153" t="s">
        <v>17</v>
      </c>
      <c r="D153" t="s">
        <v>11</v>
      </c>
      <c r="E153" t="s">
        <v>79</v>
      </c>
      <c r="F153" t="s">
        <v>9</v>
      </c>
      <c r="G153" s="15">
        <v>34.54</v>
      </c>
      <c r="H153" t="s">
        <v>25</v>
      </c>
      <c r="I153">
        <v>1</v>
      </c>
      <c r="J153" t="s">
        <v>48</v>
      </c>
      <c r="K153" t="s">
        <v>46</v>
      </c>
      <c r="L153" t="s">
        <v>45</v>
      </c>
      <c r="M153" t="s">
        <v>67</v>
      </c>
      <c r="N153" s="15">
        <v>33.39</v>
      </c>
      <c r="O153" s="16">
        <v>3.4</v>
      </c>
      <c r="P153">
        <v>0</v>
      </c>
    </row>
    <row r="154" spans="1:16" x14ac:dyDescent="0.3">
      <c r="A154" t="s">
        <v>57</v>
      </c>
      <c r="B154" t="s">
        <v>21</v>
      </c>
      <c r="C154" t="s">
        <v>62</v>
      </c>
      <c r="D154" t="s">
        <v>10</v>
      </c>
      <c r="E154" t="s">
        <v>69</v>
      </c>
      <c r="F154" t="s">
        <v>9</v>
      </c>
      <c r="G154" s="15">
        <v>138.37</v>
      </c>
      <c r="H154" t="s">
        <v>26</v>
      </c>
      <c r="I154">
        <v>2</v>
      </c>
      <c r="J154" t="s">
        <v>48</v>
      </c>
      <c r="K154" t="s">
        <v>46</v>
      </c>
      <c r="L154" t="s">
        <v>45</v>
      </c>
      <c r="M154" t="s">
        <v>64</v>
      </c>
      <c r="N154" s="15">
        <v>150.38999999999999</v>
      </c>
      <c r="O154" s="16">
        <v>-8</v>
      </c>
      <c r="P154">
        <v>0</v>
      </c>
    </row>
    <row r="155" spans="1:16" x14ac:dyDescent="0.3">
      <c r="A155" t="s">
        <v>57</v>
      </c>
      <c r="B155" t="s">
        <v>20</v>
      </c>
      <c r="C155" t="s">
        <v>20</v>
      </c>
      <c r="D155" t="s">
        <v>14</v>
      </c>
      <c r="E155" t="s">
        <v>63</v>
      </c>
      <c r="F155" t="s">
        <v>9</v>
      </c>
      <c r="G155" s="15">
        <v>56.37</v>
      </c>
      <c r="H155" t="s">
        <v>26</v>
      </c>
      <c r="I155">
        <v>2</v>
      </c>
      <c r="J155" t="s">
        <v>48</v>
      </c>
      <c r="K155" t="s">
        <v>46</v>
      </c>
      <c r="L155" t="s">
        <v>45</v>
      </c>
      <c r="M155" t="s">
        <v>67</v>
      </c>
      <c r="N155" s="15">
        <v>65.16</v>
      </c>
      <c r="O155" s="16">
        <v>-13.5</v>
      </c>
      <c r="P155">
        <v>0</v>
      </c>
    </row>
    <row r="156" spans="1:16" x14ac:dyDescent="0.3">
      <c r="A156" t="s">
        <v>60</v>
      </c>
      <c r="B156" t="s">
        <v>21</v>
      </c>
      <c r="C156" t="s">
        <v>62</v>
      </c>
      <c r="D156" t="s">
        <v>15</v>
      </c>
      <c r="E156" t="s">
        <v>76</v>
      </c>
      <c r="F156" t="s">
        <v>9</v>
      </c>
      <c r="G156" s="15">
        <v>119.12</v>
      </c>
      <c r="H156" t="s">
        <v>26</v>
      </c>
      <c r="I156">
        <v>2</v>
      </c>
      <c r="J156" t="s">
        <v>48</v>
      </c>
      <c r="K156" t="s">
        <v>46</v>
      </c>
      <c r="L156" t="s">
        <v>45</v>
      </c>
      <c r="M156" t="s">
        <v>67</v>
      </c>
      <c r="N156" s="15">
        <v>116.32</v>
      </c>
      <c r="O156" s="16">
        <v>2.4</v>
      </c>
      <c r="P156">
        <v>0</v>
      </c>
    </row>
    <row r="157" spans="1:16" x14ac:dyDescent="0.3">
      <c r="A157" t="s">
        <v>57</v>
      </c>
      <c r="B157" t="s">
        <v>22</v>
      </c>
      <c r="C157" t="s">
        <v>22</v>
      </c>
      <c r="D157" t="s">
        <v>14</v>
      </c>
      <c r="E157" t="s">
        <v>71</v>
      </c>
      <c r="F157" t="s">
        <v>9</v>
      </c>
      <c r="G157" s="15">
        <v>61.97</v>
      </c>
      <c r="H157" t="s">
        <v>26</v>
      </c>
      <c r="I157">
        <v>2</v>
      </c>
      <c r="J157" t="s">
        <v>48</v>
      </c>
      <c r="K157" t="s">
        <v>46</v>
      </c>
      <c r="L157" t="s">
        <v>45</v>
      </c>
      <c r="M157" t="s">
        <v>67</v>
      </c>
      <c r="N157" s="15">
        <v>65.77</v>
      </c>
      <c r="O157" s="16">
        <v>-5.8</v>
      </c>
      <c r="P157">
        <v>0</v>
      </c>
    </row>
    <row r="158" spans="1:16" x14ac:dyDescent="0.3">
      <c r="A158" t="s">
        <v>57</v>
      </c>
      <c r="B158" t="s">
        <v>20</v>
      </c>
      <c r="C158" t="s">
        <v>20</v>
      </c>
      <c r="D158" t="s">
        <v>14</v>
      </c>
      <c r="E158" t="s">
        <v>71</v>
      </c>
      <c r="F158" t="s">
        <v>9</v>
      </c>
      <c r="G158" s="15">
        <v>62.44</v>
      </c>
      <c r="H158" t="s">
        <v>27</v>
      </c>
      <c r="I158">
        <v>3</v>
      </c>
      <c r="J158" t="s">
        <v>48</v>
      </c>
      <c r="K158" t="s">
        <v>46</v>
      </c>
      <c r="L158" t="s">
        <v>46</v>
      </c>
      <c r="M158" t="s">
        <v>59</v>
      </c>
      <c r="N158" s="15">
        <v>65.77</v>
      </c>
      <c r="O158" s="16">
        <v>-5.0999999999999996</v>
      </c>
      <c r="P158">
        <v>0</v>
      </c>
    </row>
    <row r="159" spans="1:16" x14ac:dyDescent="0.3">
      <c r="A159" t="s">
        <v>60</v>
      </c>
      <c r="B159" t="s">
        <v>21</v>
      </c>
      <c r="C159" t="s">
        <v>62</v>
      </c>
      <c r="D159" t="s">
        <v>15</v>
      </c>
      <c r="E159" t="s">
        <v>75</v>
      </c>
      <c r="F159" t="s">
        <v>9</v>
      </c>
      <c r="G159" s="15">
        <v>91.21</v>
      </c>
      <c r="H159" t="s">
        <v>27</v>
      </c>
      <c r="I159">
        <v>3</v>
      </c>
      <c r="J159" t="s">
        <v>48</v>
      </c>
      <c r="K159" t="s">
        <v>46</v>
      </c>
      <c r="L159" t="s">
        <v>45</v>
      </c>
      <c r="M159" t="s">
        <v>78</v>
      </c>
      <c r="N159" s="15">
        <v>119</v>
      </c>
      <c r="O159" s="16">
        <v>-23.4</v>
      </c>
      <c r="P159">
        <v>0</v>
      </c>
    </row>
    <row r="160" spans="1:16" x14ac:dyDescent="0.3">
      <c r="A160" t="s">
        <v>60</v>
      </c>
      <c r="B160" t="s">
        <v>19</v>
      </c>
      <c r="C160" t="s">
        <v>19</v>
      </c>
      <c r="D160" t="s">
        <v>10</v>
      </c>
      <c r="E160" t="s">
        <v>69</v>
      </c>
      <c r="F160" t="s">
        <v>9</v>
      </c>
      <c r="G160" s="15">
        <v>191.79</v>
      </c>
      <c r="H160" t="s">
        <v>25</v>
      </c>
      <c r="I160">
        <v>1</v>
      </c>
      <c r="J160" t="s">
        <v>48</v>
      </c>
      <c r="K160" t="s">
        <v>45</v>
      </c>
      <c r="L160" t="s">
        <v>45</v>
      </c>
      <c r="M160" t="s">
        <v>78</v>
      </c>
      <c r="N160" s="15">
        <v>158.6</v>
      </c>
      <c r="O160" s="16">
        <v>20.9</v>
      </c>
      <c r="P160">
        <v>1</v>
      </c>
    </row>
    <row r="161" spans="1:16" x14ac:dyDescent="0.3">
      <c r="A161" t="s">
        <v>65</v>
      </c>
      <c r="B161" t="s">
        <v>21</v>
      </c>
      <c r="C161" t="s">
        <v>62</v>
      </c>
      <c r="D161" t="s">
        <v>8</v>
      </c>
      <c r="E161" t="s">
        <v>73</v>
      </c>
      <c r="F161" t="s">
        <v>9</v>
      </c>
      <c r="G161" s="15">
        <v>67.150000000000006</v>
      </c>
      <c r="H161" t="s">
        <v>26</v>
      </c>
      <c r="I161">
        <v>2</v>
      </c>
      <c r="J161" t="s">
        <v>47</v>
      </c>
      <c r="K161" t="s">
        <v>46</v>
      </c>
      <c r="L161" t="s">
        <v>45</v>
      </c>
      <c r="M161" t="s">
        <v>67</v>
      </c>
      <c r="N161" s="15">
        <v>88.05</v>
      </c>
      <c r="O161" s="16">
        <v>-23.7</v>
      </c>
      <c r="P161">
        <v>0</v>
      </c>
    </row>
    <row r="162" spans="1:16" x14ac:dyDescent="0.3">
      <c r="A162" t="s">
        <v>65</v>
      </c>
      <c r="B162" t="s">
        <v>22</v>
      </c>
      <c r="C162" t="s">
        <v>22</v>
      </c>
      <c r="D162" t="s">
        <v>15</v>
      </c>
      <c r="E162" t="s">
        <v>76</v>
      </c>
      <c r="F162" t="s">
        <v>9</v>
      </c>
      <c r="G162" s="15">
        <v>132.19999999999999</v>
      </c>
      <c r="H162" t="s">
        <v>26</v>
      </c>
      <c r="I162">
        <v>2</v>
      </c>
      <c r="J162" t="s">
        <v>48</v>
      </c>
      <c r="K162" t="s">
        <v>45</v>
      </c>
      <c r="L162" t="s">
        <v>45</v>
      </c>
      <c r="M162" t="s">
        <v>64</v>
      </c>
      <c r="N162" s="15">
        <v>126.51</v>
      </c>
      <c r="O162" s="16">
        <v>4.5</v>
      </c>
      <c r="P162">
        <v>0</v>
      </c>
    </row>
    <row r="163" spans="1:16" x14ac:dyDescent="0.3">
      <c r="A163" t="s">
        <v>57</v>
      </c>
      <c r="B163" t="s">
        <v>19</v>
      </c>
      <c r="C163" t="s">
        <v>19</v>
      </c>
      <c r="D163" t="s">
        <v>15</v>
      </c>
      <c r="E163" t="s">
        <v>75</v>
      </c>
      <c r="F163" t="s">
        <v>9</v>
      </c>
      <c r="G163" s="15">
        <v>105.42</v>
      </c>
      <c r="H163" t="s">
        <v>27</v>
      </c>
      <c r="I163">
        <v>3</v>
      </c>
      <c r="J163" t="s">
        <v>47</v>
      </c>
      <c r="K163" t="s">
        <v>46</v>
      </c>
      <c r="L163" t="s">
        <v>45</v>
      </c>
      <c r="M163" t="s">
        <v>64</v>
      </c>
      <c r="N163" s="15">
        <v>120.06</v>
      </c>
      <c r="O163" s="16">
        <v>-12.2</v>
      </c>
      <c r="P163">
        <v>0</v>
      </c>
    </row>
    <row r="164" spans="1:16" x14ac:dyDescent="0.3">
      <c r="A164" t="s">
        <v>65</v>
      </c>
      <c r="B164" t="s">
        <v>22</v>
      </c>
      <c r="C164" t="s">
        <v>22</v>
      </c>
      <c r="D164" t="s">
        <v>11</v>
      </c>
      <c r="E164" t="s">
        <v>79</v>
      </c>
      <c r="F164" t="s">
        <v>9</v>
      </c>
      <c r="G164" s="15">
        <v>31.9</v>
      </c>
      <c r="H164" t="s">
        <v>27</v>
      </c>
      <c r="I164">
        <v>3</v>
      </c>
      <c r="J164" t="s">
        <v>48</v>
      </c>
      <c r="K164" t="s">
        <v>46</v>
      </c>
      <c r="L164" t="s">
        <v>45</v>
      </c>
      <c r="M164" t="s">
        <v>78</v>
      </c>
      <c r="N164" s="15">
        <v>33.39</v>
      </c>
      <c r="O164" s="16">
        <v>-4.5</v>
      </c>
      <c r="P164">
        <v>0</v>
      </c>
    </row>
    <row r="165" spans="1:16" x14ac:dyDescent="0.3">
      <c r="A165" t="s">
        <v>60</v>
      </c>
      <c r="B165" t="s">
        <v>21</v>
      </c>
      <c r="C165" t="s">
        <v>62</v>
      </c>
      <c r="D165" t="s">
        <v>11</v>
      </c>
      <c r="E165" t="s">
        <v>79</v>
      </c>
      <c r="F165" t="s">
        <v>9</v>
      </c>
      <c r="G165" s="15">
        <v>34.21</v>
      </c>
      <c r="H165" t="s">
        <v>26</v>
      </c>
      <c r="I165">
        <v>2</v>
      </c>
      <c r="J165" t="s">
        <v>48</v>
      </c>
      <c r="K165" t="s">
        <v>45</v>
      </c>
      <c r="L165" t="s">
        <v>45</v>
      </c>
      <c r="M165" t="s">
        <v>78</v>
      </c>
      <c r="N165" s="15">
        <v>29.14</v>
      </c>
      <c r="O165" s="16">
        <v>17.399999999999999</v>
      </c>
      <c r="P165">
        <v>1</v>
      </c>
    </row>
    <row r="166" spans="1:16" x14ac:dyDescent="0.3">
      <c r="A166" t="s">
        <v>65</v>
      </c>
      <c r="B166" t="s">
        <v>22</v>
      </c>
      <c r="C166" t="s">
        <v>22</v>
      </c>
      <c r="D166" t="s">
        <v>10</v>
      </c>
      <c r="E166" t="s">
        <v>69</v>
      </c>
      <c r="F166" t="s">
        <v>9</v>
      </c>
      <c r="G166" s="15">
        <v>146.4</v>
      </c>
      <c r="H166" t="s">
        <v>26</v>
      </c>
      <c r="I166">
        <v>2</v>
      </c>
      <c r="J166" t="s">
        <v>48</v>
      </c>
      <c r="K166" t="s">
        <v>46</v>
      </c>
      <c r="L166" t="s">
        <v>45</v>
      </c>
      <c r="M166" t="s">
        <v>59</v>
      </c>
      <c r="N166" s="15">
        <v>158.91999999999999</v>
      </c>
      <c r="O166" s="16">
        <v>-7.9</v>
      </c>
      <c r="P166">
        <v>0</v>
      </c>
    </row>
    <row r="167" spans="1:16" x14ac:dyDescent="0.3">
      <c r="A167" t="s">
        <v>65</v>
      </c>
      <c r="B167" t="s">
        <v>19</v>
      </c>
      <c r="C167" t="s">
        <v>19</v>
      </c>
      <c r="D167" t="s">
        <v>11</v>
      </c>
      <c r="E167" t="s">
        <v>79</v>
      </c>
      <c r="F167" t="s">
        <v>9</v>
      </c>
      <c r="G167" s="15">
        <v>29.64</v>
      </c>
      <c r="H167" t="s">
        <v>26</v>
      </c>
      <c r="I167">
        <v>2</v>
      </c>
      <c r="J167" t="s">
        <v>47</v>
      </c>
      <c r="K167" t="s">
        <v>45</v>
      </c>
      <c r="L167" t="s">
        <v>45</v>
      </c>
      <c r="M167" t="s">
        <v>64</v>
      </c>
      <c r="N167" s="15">
        <v>33.39</v>
      </c>
      <c r="O167" s="16">
        <v>-11.2</v>
      </c>
      <c r="P167">
        <v>0</v>
      </c>
    </row>
    <row r="168" spans="1:16" x14ac:dyDescent="0.3">
      <c r="A168" t="s">
        <v>65</v>
      </c>
      <c r="B168" t="s">
        <v>17</v>
      </c>
      <c r="C168" t="s">
        <v>17</v>
      </c>
      <c r="D168" t="s">
        <v>12</v>
      </c>
      <c r="E168" t="s">
        <v>80</v>
      </c>
      <c r="F168" t="s">
        <v>13</v>
      </c>
      <c r="G168" s="15">
        <v>186.96</v>
      </c>
      <c r="H168" t="s">
        <v>26</v>
      </c>
      <c r="I168">
        <v>2</v>
      </c>
      <c r="J168" t="s">
        <v>47</v>
      </c>
      <c r="K168" t="s">
        <v>45</v>
      </c>
      <c r="L168" t="s">
        <v>45</v>
      </c>
      <c r="M168" t="s">
        <v>68</v>
      </c>
      <c r="N168" s="15">
        <v>176.57</v>
      </c>
      <c r="O168" s="16">
        <v>5.9</v>
      </c>
      <c r="P168">
        <v>0</v>
      </c>
    </row>
    <row r="169" spans="1:16" x14ac:dyDescent="0.3">
      <c r="A169" t="s">
        <v>60</v>
      </c>
      <c r="B169" t="s">
        <v>22</v>
      </c>
      <c r="C169" t="s">
        <v>22</v>
      </c>
      <c r="D169" t="s">
        <v>8</v>
      </c>
      <c r="E169" t="s">
        <v>73</v>
      </c>
      <c r="F169" t="s">
        <v>9</v>
      </c>
      <c r="G169" s="15">
        <v>61.87</v>
      </c>
      <c r="H169" t="s">
        <v>26</v>
      </c>
      <c r="I169">
        <v>2</v>
      </c>
      <c r="J169" t="s">
        <v>48</v>
      </c>
      <c r="K169" t="s">
        <v>46</v>
      </c>
      <c r="L169" t="s">
        <v>45</v>
      </c>
      <c r="M169" t="s">
        <v>68</v>
      </c>
      <c r="N169" s="15">
        <v>82.04</v>
      </c>
      <c r="O169" s="16">
        <v>-24.6</v>
      </c>
      <c r="P169">
        <v>0</v>
      </c>
    </row>
    <row r="170" spans="1:16" x14ac:dyDescent="0.3">
      <c r="A170" t="s">
        <v>57</v>
      </c>
      <c r="B170" t="s">
        <v>22</v>
      </c>
      <c r="C170" t="s">
        <v>22</v>
      </c>
      <c r="D170" t="s">
        <v>12</v>
      </c>
      <c r="E170" t="s">
        <v>80</v>
      </c>
      <c r="F170" t="s">
        <v>13</v>
      </c>
      <c r="G170" s="15">
        <v>146.37</v>
      </c>
      <c r="H170" t="s">
        <v>27</v>
      </c>
      <c r="I170">
        <v>3</v>
      </c>
      <c r="J170" t="s">
        <v>48</v>
      </c>
      <c r="K170" t="s">
        <v>46</v>
      </c>
      <c r="L170" t="s">
        <v>46</v>
      </c>
      <c r="M170" t="s">
        <v>78</v>
      </c>
      <c r="N170" s="15">
        <v>162.72999999999999</v>
      </c>
      <c r="O170" s="16">
        <v>-10.1</v>
      </c>
      <c r="P170">
        <v>0</v>
      </c>
    </row>
    <row r="171" spans="1:16" x14ac:dyDescent="0.3">
      <c r="A171" t="s">
        <v>65</v>
      </c>
      <c r="B171" t="s">
        <v>20</v>
      </c>
      <c r="C171" t="s">
        <v>20</v>
      </c>
      <c r="D171" t="s">
        <v>15</v>
      </c>
      <c r="E171" t="s">
        <v>76</v>
      </c>
      <c r="F171" t="s">
        <v>9</v>
      </c>
      <c r="G171" s="15">
        <v>121.08</v>
      </c>
      <c r="H171" t="s">
        <v>26</v>
      </c>
      <c r="I171">
        <v>2</v>
      </c>
      <c r="J171" t="s">
        <v>47</v>
      </c>
      <c r="K171" t="s">
        <v>46</v>
      </c>
      <c r="L171" t="s">
        <v>45</v>
      </c>
      <c r="M171" t="s">
        <v>61</v>
      </c>
      <c r="N171" s="15">
        <v>126.51</v>
      </c>
      <c r="O171" s="16">
        <v>-4.3</v>
      </c>
      <c r="P171">
        <v>0</v>
      </c>
    </row>
    <row r="172" spans="1:16" x14ac:dyDescent="0.3">
      <c r="A172" t="s">
        <v>65</v>
      </c>
      <c r="B172" t="s">
        <v>21</v>
      </c>
      <c r="C172" t="s">
        <v>62</v>
      </c>
      <c r="D172" t="s">
        <v>10</v>
      </c>
      <c r="E172" t="s">
        <v>69</v>
      </c>
      <c r="F172" t="s">
        <v>9</v>
      </c>
      <c r="G172" s="15">
        <v>156.30000000000001</v>
      </c>
      <c r="H172" t="s">
        <v>26</v>
      </c>
      <c r="I172">
        <v>2</v>
      </c>
      <c r="J172" t="s">
        <v>48</v>
      </c>
      <c r="K172" t="s">
        <v>45</v>
      </c>
      <c r="L172" t="s">
        <v>45</v>
      </c>
      <c r="M172" t="s">
        <v>59</v>
      </c>
      <c r="N172" s="15">
        <v>158.91999999999999</v>
      </c>
      <c r="O172" s="16">
        <v>-1.6</v>
      </c>
      <c r="P172">
        <v>0</v>
      </c>
    </row>
    <row r="173" spans="1:16" x14ac:dyDescent="0.3">
      <c r="A173" t="s">
        <v>57</v>
      </c>
      <c r="B173" t="s">
        <v>21</v>
      </c>
      <c r="C173" t="s">
        <v>62</v>
      </c>
      <c r="D173" t="s">
        <v>11</v>
      </c>
      <c r="E173" t="s">
        <v>79</v>
      </c>
      <c r="F173" t="s">
        <v>9</v>
      </c>
      <c r="G173" s="15">
        <v>27.75</v>
      </c>
      <c r="H173" t="s">
        <v>27</v>
      </c>
      <c r="I173">
        <v>3</v>
      </c>
      <c r="J173" t="s">
        <v>48</v>
      </c>
      <c r="K173" t="s">
        <v>46</v>
      </c>
      <c r="L173" t="s">
        <v>45</v>
      </c>
      <c r="M173" t="s">
        <v>67</v>
      </c>
      <c r="N173" s="15">
        <v>30.93</v>
      </c>
      <c r="O173" s="16">
        <v>-10.3</v>
      </c>
      <c r="P173">
        <v>0</v>
      </c>
    </row>
    <row r="174" spans="1:16" x14ac:dyDescent="0.3">
      <c r="A174" t="s">
        <v>65</v>
      </c>
      <c r="B174" t="s">
        <v>21</v>
      </c>
      <c r="C174" t="s">
        <v>62</v>
      </c>
      <c r="D174" t="s">
        <v>14</v>
      </c>
      <c r="E174" t="s">
        <v>71</v>
      </c>
      <c r="F174" t="s">
        <v>9</v>
      </c>
      <c r="G174" s="15">
        <v>79.239999999999995</v>
      </c>
      <c r="H174" t="s">
        <v>26</v>
      </c>
      <c r="I174">
        <v>2</v>
      </c>
      <c r="J174" t="s">
        <v>47</v>
      </c>
      <c r="K174" t="s">
        <v>45</v>
      </c>
      <c r="L174" t="s">
        <v>46</v>
      </c>
      <c r="M174" t="s">
        <v>78</v>
      </c>
      <c r="N174" s="15">
        <v>71.77</v>
      </c>
      <c r="O174" s="16">
        <v>10.4</v>
      </c>
      <c r="P174">
        <v>0</v>
      </c>
    </row>
    <row r="175" spans="1:16" x14ac:dyDescent="0.3">
      <c r="A175" t="s">
        <v>65</v>
      </c>
      <c r="B175" t="s">
        <v>18</v>
      </c>
      <c r="C175" t="s">
        <v>18</v>
      </c>
      <c r="D175" t="s">
        <v>11</v>
      </c>
      <c r="E175" t="s">
        <v>70</v>
      </c>
      <c r="F175" t="s">
        <v>9</v>
      </c>
      <c r="G175" s="15">
        <v>27.42</v>
      </c>
      <c r="H175" t="s">
        <v>26</v>
      </c>
      <c r="I175">
        <v>2</v>
      </c>
      <c r="J175" t="s">
        <v>47</v>
      </c>
      <c r="K175" t="s">
        <v>46</v>
      </c>
      <c r="L175" t="s">
        <v>45</v>
      </c>
      <c r="M175" t="s">
        <v>72</v>
      </c>
      <c r="N175" s="15">
        <v>32.630000000000003</v>
      </c>
      <c r="O175" s="16">
        <v>-16</v>
      </c>
      <c r="P175">
        <v>0</v>
      </c>
    </row>
    <row r="176" spans="1:16" x14ac:dyDescent="0.3">
      <c r="A176" t="s">
        <v>65</v>
      </c>
      <c r="B176" t="s">
        <v>21</v>
      </c>
      <c r="C176" t="s">
        <v>62</v>
      </c>
      <c r="D176" t="s">
        <v>11</v>
      </c>
      <c r="E176" t="s">
        <v>79</v>
      </c>
      <c r="F176" t="s">
        <v>9</v>
      </c>
      <c r="G176" s="15">
        <v>22.9</v>
      </c>
      <c r="H176" t="s">
        <v>27</v>
      </c>
      <c r="I176">
        <v>3</v>
      </c>
      <c r="J176" t="s">
        <v>48</v>
      </c>
      <c r="K176" t="s">
        <v>45</v>
      </c>
      <c r="L176" t="s">
        <v>45</v>
      </c>
      <c r="M176" t="s">
        <v>68</v>
      </c>
      <c r="N176" s="15">
        <v>33.39</v>
      </c>
      <c r="O176" s="16">
        <v>-31.4</v>
      </c>
      <c r="P176">
        <v>0</v>
      </c>
    </row>
    <row r="177" spans="1:16" x14ac:dyDescent="0.3">
      <c r="A177" t="s">
        <v>60</v>
      </c>
      <c r="B177" t="s">
        <v>21</v>
      </c>
      <c r="C177" t="s">
        <v>62</v>
      </c>
      <c r="D177" t="s">
        <v>11</v>
      </c>
      <c r="E177" t="s">
        <v>70</v>
      </c>
      <c r="F177" t="s">
        <v>9</v>
      </c>
      <c r="G177" s="15">
        <v>27.72</v>
      </c>
      <c r="H177" t="s">
        <v>25</v>
      </c>
      <c r="I177">
        <v>1</v>
      </c>
      <c r="J177" t="s">
        <v>47</v>
      </c>
      <c r="K177" t="s">
        <v>46</v>
      </c>
      <c r="L177" t="s">
        <v>45</v>
      </c>
      <c r="M177" t="s">
        <v>67</v>
      </c>
      <c r="N177" s="15">
        <v>31.4</v>
      </c>
      <c r="O177" s="16">
        <v>-11.7</v>
      </c>
      <c r="P177">
        <v>0</v>
      </c>
    </row>
    <row r="178" spans="1:16" x14ac:dyDescent="0.3">
      <c r="A178" t="s">
        <v>57</v>
      </c>
      <c r="B178" t="s">
        <v>21</v>
      </c>
      <c r="C178" t="s">
        <v>62</v>
      </c>
      <c r="D178" t="s">
        <v>8</v>
      </c>
      <c r="E178" t="s">
        <v>73</v>
      </c>
      <c r="F178" t="s">
        <v>9</v>
      </c>
      <c r="G178" s="15">
        <v>74.97</v>
      </c>
      <c r="H178" t="s">
        <v>25</v>
      </c>
      <c r="I178">
        <v>1</v>
      </c>
      <c r="J178" t="s">
        <v>48</v>
      </c>
      <c r="K178" t="s">
        <v>45</v>
      </c>
      <c r="L178" t="s">
        <v>45</v>
      </c>
      <c r="M178" t="s">
        <v>68</v>
      </c>
      <c r="N178" s="15">
        <v>86.06</v>
      </c>
      <c r="O178" s="16">
        <v>-12.9</v>
      </c>
      <c r="P178">
        <v>0</v>
      </c>
    </row>
    <row r="179" spans="1:16" x14ac:dyDescent="0.3">
      <c r="A179" t="s">
        <v>65</v>
      </c>
      <c r="B179" t="s">
        <v>17</v>
      </c>
      <c r="C179" t="s">
        <v>17</v>
      </c>
      <c r="D179" t="s">
        <v>8</v>
      </c>
      <c r="E179" t="s">
        <v>73</v>
      </c>
      <c r="F179" t="s">
        <v>9</v>
      </c>
      <c r="G179" s="15">
        <v>60.59</v>
      </c>
      <c r="H179" t="s">
        <v>26</v>
      </c>
      <c r="I179">
        <v>2</v>
      </c>
      <c r="J179" t="s">
        <v>47</v>
      </c>
      <c r="K179" t="s">
        <v>45</v>
      </c>
      <c r="L179" t="s">
        <v>45</v>
      </c>
      <c r="M179" t="s">
        <v>61</v>
      </c>
      <c r="N179" s="15">
        <v>88.05</v>
      </c>
      <c r="O179" s="16">
        <v>-31.2</v>
      </c>
      <c r="P179">
        <v>0</v>
      </c>
    </row>
    <row r="180" spans="1:16" x14ac:dyDescent="0.3">
      <c r="A180" t="s">
        <v>65</v>
      </c>
      <c r="B180" t="s">
        <v>22</v>
      </c>
      <c r="C180" t="s">
        <v>22</v>
      </c>
      <c r="D180" t="s">
        <v>8</v>
      </c>
      <c r="E180" t="s">
        <v>74</v>
      </c>
      <c r="F180" t="s">
        <v>9</v>
      </c>
      <c r="G180" s="15">
        <v>100.55</v>
      </c>
      <c r="H180" t="s">
        <v>27</v>
      </c>
      <c r="I180">
        <v>3</v>
      </c>
      <c r="J180" t="s">
        <v>47</v>
      </c>
      <c r="K180" t="s">
        <v>45</v>
      </c>
      <c r="L180" t="s">
        <v>46</v>
      </c>
      <c r="M180" t="s">
        <v>64</v>
      </c>
      <c r="N180" s="15">
        <v>91.13</v>
      </c>
      <c r="O180" s="16">
        <v>10.3</v>
      </c>
      <c r="P180">
        <v>0</v>
      </c>
    </row>
    <row r="181" spans="1:16" x14ac:dyDescent="0.3">
      <c r="A181" t="s">
        <v>60</v>
      </c>
      <c r="B181" t="s">
        <v>21</v>
      </c>
      <c r="C181" t="s">
        <v>62</v>
      </c>
      <c r="D181" t="s">
        <v>11</v>
      </c>
      <c r="E181" t="s">
        <v>70</v>
      </c>
      <c r="F181" t="s">
        <v>9</v>
      </c>
      <c r="G181" s="15">
        <v>32.58</v>
      </c>
      <c r="H181" t="s">
        <v>26</v>
      </c>
      <c r="I181">
        <v>2</v>
      </c>
      <c r="J181" t="s">
        <v>48</v>
      </c>
      <c r="K181" t="s">
        <v>45</v>
      </c>
      <c r="L181" t="s">
        <v>46</v>
      </c>
      <c r="M181" t="s">
        <v>67</v>
      </c>
      <c r="N181" s="15">
        <v>31.4</v>
      </c>
      <c r="O181" s="16">
        <v>3.8</v>
      </c>
      <c r="P181">
        <v>0</v>
      </c>
    </row>
    <row r="182" spans="1:16" x14ac:dyDescent="0.3">
      <c r="A182" t="s">
        <v>65</v>
      </c>
      <c r="B182" t="s">
        <v>20</v>
      </c>
      <c r="C182" t="s">
        <v>20</v>
      </c>
      <c r="D182" t="s">
        <v>14</v>
      </c>
      <c r="E182" t="s">
        <v>71</v>
      </c>
      <c r="F182" t="s">
        <v>9</v>
      </c>
      <c r="G182" s="15">
        <v>61.59</v>
      </c>
      <c r="H182" t="s">
        <v>27</v>
      </c>
      <c r="I182">
        <v>3</v>
      </c>
      <c r="J182" t="s">
        <v>47</v>
      </c>
      <c r="K182" t="s">
        <v>45</v>
      </c>
      <c r="L182" t="s">
        <v>45</v>
      </c>
      <c r="M182" t="s">
        <v>72</v>
      </c>
      <c r="N182" s="15">
        <v>71.77</v>
      </c>
      <c r="O182" s="16">
        <v>-14.2</v>
      </c>
      <c r="P182">
        <v>0</v>
      </c>
    </row>
    <row r="183" spans="1:16" x14ac:dyDescent="0.3">
      <c r="A183" t="s">
        <v>65</v>
      </c>
      <c r="B183" t="s">
        <v>21</v>
      </c>
      <c r="C183" t="s">
        <v>62</v>
      </c>
      <c r="D183" t="s">
        <v>10</v>
      </c>
      <c r="E183" t="s">
        <v>58</v>
      </c>
      <c r="F183" t="s">
        <v>9</v>
      </c>
      <c r="G183" s="15">
        <v>200</v>
      </c>
      <c r="H183" t="s">
        <v>25</v>
      </c>
      <c r="I183">
        <v>1</v>
      </c>
      <c r="J183" t="s">
        <v>47</v>
      </c>
      <c r="K183" t="s">
        <v>45</v>
      </c>
      <c r="L183" t="s">
        <v>45</v>
      </c>
      <c r="M183" t="s">
        <v>72</v>
      </c>
      <c r="N183" s="15">
        <v>166.29</v>
      </c>
      <c r="O183" s="16">
        <v>20.3</v>
      </c>
      <c r="P183">
        <v>1</v>
      </c>
    </row>
    <row r="184" spans="1:16" x14ac:dyDescent="0.3">
      <c r="A184" t="s">
        <v>65</v>
      </c>
      <c r="B184" t="s">
        <v>19</v>
      </c>
      <c r="C184" t="s">
        <v>19</v>
      </c>
      <c r="D184" t="s">
        <v>15</v>
      </c>
      <c r="E184" t="s">
        <v>76</v>
      </c>
      <c r="F184" t="s">
        <v>9</v>
      </c>
      <c r="G184" s="15">
        <v>135.04</v>
      </c>
      <c r="H184" t="s">
        <v>27</v>
      </c>
      <c r="I184">
        <v>3</v>
      </c>
      <c r="J184" t="s">
        <v>47</v>
      </c>
      <c r="K184" t="s">
        <v>45</v>
      </c>
      <c r="L184" t="s">
        <v>46</v>
      </c>
      <c r="M184" t="s">
        <v>61</v>
      </c>
      <c r="N184" s="15">
        <v>126.51</v>
      </c>
      <c r="O184" s="16">
        <v>6.7</v>
      </c>
      <c r="P184">
        <v>0</v>
      </c>
    </row>
    <row r="185" spans="1:16" x14ac:dyDescent="0.3">
      <c r="A185" t="s">
        <v>57</v>
      </c>
      <c r="B185" t="s">
        <v>19</v>
      </c>
      <c r="C185" t="s">
        <v>19</v>
      </c>
      <c r="D185" t="s">
        <v>15</v>
      </c>
      <c r="E185" t="s">
        <v>75</v>
      </c>
      <c r="F185" t="s">
        <v>9</v>
      </c>
      <c r="G185" s="15">
        <v>124.15</v>
      </c>
      <c r="H185" t="s">
        <v>26</v>
      </c>
      <c r="I185">
        <v>2</v>
      </c>
      <c r="J185" t="s">
        <v>47</v>
      </c>
      <c r="K185" t="s">
        <v>46</v>
      </c>
      <c r="L185" t="s">
        <v>45</v>
      </c>
      <c r="M185" t="s">
        <v>68</v>
      </c>
      <c r="N185" s="15">
        <v>120.06</v>
      </c>
      <c r="O185" s="16">
        <v>3.4</v>
      </c>
      <c r="P185">
        <v>0</v>
      </c>
    </row>
    <row r="186" spans="1:16" x14ac:dyDescent="0.3">
      <c r="A186" t="s">
        <v>65</v>
      </c>
      <c r="B186" t="s">
        <v>21</v>
      </c>
      <c r="C186" t="s">
        <v>62</v>
      </c>
      <c r="D186" t="s">
        <v>14</v>
      </c>
      <c r="E186" t="s">
        <v>71</v>
      </c>
      <c r="F186" t="s">
        <v>9</v>
      </c>
      <c r="G186" s="15">
        <v>67.3</v>
      </c>
      <c r="H186" t="s">
        <v>26</v>
      </c>
      <c r="I186">
        <v>2</v>
      </c>
      <c r="J186" t="s">
        <v>48</v>
      </c>
      <c r="K186" t="s">
        <v>46</v>
      </c>
      <c r="L186" t="s">
        <v>45</v>
      </c>
      <c r="M186" t="s">
        <v>61</v>
      </c>
      <c r="N186" s="15">
        <v>71.77</v>
      </c>
      <c r="O186" s="16">
        <v>-6.2</v>
      </c>
      <c r="P186">
        <v>0</v>
      </c>
    </row>
    <row r="187" spans="1:16" x14ac:dyDescent="0.3">
      <c r="A187" t="s">
        <v>57</v>
      </c>
      <c r="B187" t="s">
        <v>22</v>
      </c>
      <c r="C187" t="s">
        <v>22</v>
      </c>
      <c r="D187" t="s">
        <v>15</v>
      </c>
      <c r="E187" t="s">
        <v>76</v>
      </c>
      <c r="F187" t="s">
        <v>9</v>
      </c>
      <c r="G187" s="15">
        <v>111.44</v>
      </c>
      <c r="H187" t="s">
        <v>26</v>
      </c>
      <c r="I187">
        <v>2</v>
      </c>
      <c r="J187" t="s">
        <v>47</v>
      </c>
      <c r="K187" t="s">
        <v>45</v>
      </c>
      <c r="L187" t="s">
        <v>45</v>
      </c>
      <c r="M187" t="s">
        <v>72</v>
      </c>
      <c r="N187" s="15">
        <v>118.59</v>
      </c>
      <c r="O187" s="16">
        <v>-6</v>
      </c>
      <c r="P187">
        <v>0</v>
      </c>
    </row>
    <row r="188" spans="1:16" x14ac:dyDescent="0.3">
      <c r="A188" t="s">
        <v>60</v>
      </c>
      <c r="B188" t="s">
        <v>21</v>
      </c>
      <c r="C188" t="s">
        <v>62</v>
      </c>
      <c r="D188" t="s">
        <v>15</v>
      </c>
      <c r="E188" t="s">
        <v>76</v>
      </c>
      <c r="F188" t="s">
        <v>9</v>
      </c>
      <c r="G188" s="15">
        <v>115.8</v>
      </c>
      <c r="H188" t="s">
        <v>26</v>
      </c>
      <c r="I188">
        <v>2</v>
      </c>
      <c r="J188" t="s">
        <v>48</v>
      </c>
      <c r="K188" t="s">
        <v>46</v>
      </c>
      <c r="L188" t="s">
        <v>45</v>
      </c>
      <c r="M188" t="s">
        <v>68</v>
      </c>
      <c r="N188" s="15">
        <v>116.32</v>
      </c>
      <c r="O188" s="16">
        <v>-0.4</v>
      </c>
      <c r="P188">
        <v>0</v>
      </c>
    </row>
    <row r="189" spans="1:16" x14ac:dyDescent="0.3">
      <c r="A189" t="s">
        <v>60</v>
      </c>
      <c r="B189" t="s">
        <v>19</v>
      </c>
      <c r="C189" t="s">
        <v>19</v>
      </c>
      <c r="D189" t="s">
        <v>10</v>
      </c>
      <c r="E189" t="s">
        <v>58</v>
      </c>
      <c r="F189" t="s">
        <v>9</v>
      </c>
      <c r="G189" s="15">
        <v>152.03</v>
      </c>
      <c r="H189" t="s">
        <v>26</v>
      </c>
      <c r="I189">
        <v>2</v>
      </c>
      <c r="J189" t="s">
        <v>47</v>
      </c>
      <c r="K189" t="s">
        <v>45</v>
      </c>
      <c r="L189" t="s">
        <v>45</v>
      </c>
      <c r="M189" t="s">
        <v>64</v>
      </c>
      <c r="N189" s="15">
        <v>152.03</v>
      </c>
      <c r="O189" s="16">
        <v>0</v>
      </c>
      <c r="P189">
        <v>0</v>
      </c>
    </row>
    <row r="190" spans="1:16" x14ac:dyDescent="0.3">
      <c r="A190" t="s">
        <v>60</v>
      </c>
      <c r="B190" t="s">
        <v>17</v>
      </c>
      <c r="C190" t="s">
        <v>17</v>
      </c>
      <c r="D190" t="s">
        <v>8</v>
      </c>
      <c r="E190" t="s">
        <v>74</v>
      </c>
      <c r="F190" t="s">
        <v>9</v>
      </c>
      <c r="G190" s="15">
        <v>72.7</v>
      </c>
      <c r="H190" t="s">
        <v>25</v>
      </c>
      <c r="I190">
        <v>1</v>
      </c>
      <c r="J190" t="s">
        <v>48</v>
      </c>
      <c r="K190" t="s">
        <v>45</v>
      </c>
      <c r="L190" t="s">
        <v>45</v>
      </c>
      <c r="M190" t="s">
        <v>72</v>
      </c>
      <c r="N190" s="15">
        <v>78.260000000000005</v>
      </c>
      <c r="O190" s="16">
        <v>-7.1</v>
      </c>
      <c r="P190">
        <v>0</v>
      </c>
    </row>
    <row r="191" spans="1:16" x14ac:dyDescent="0.3">
      <c r="A191" t="s">
        <v>57</v>
      </c>
      <c r="B191" t="s">
        <v>19</v>
      </c>
      <c r="C191" t="s">
        <v>19</v>
      </c>
      <c r="D191" t="s">
        <v>15</v>
      </c>
      <c r="E191" t="s">
        <v>76</v>
      </c>
      <c r="F191" t="s">
        <v>9</v>
      </c>
      <c r="G191" s="15">
        <v>110.81</v>
      </c>
      <c r="H191" t="s">
        <v>26</v>
      </c>
      <c r="I191">
        <v>2</v>
      </c>
      <c r="J191" t="s">
        <v>48</v>
      </c>
      <c r="K191" t="s">
        <v>45</v>
      </c>
      <c r="L191" t="s">
        <v>45</v>
      </c>
      <c r="M191" t="s">
        <v>68</v>
      </c>
      <c r="N191" s="15">
        <v>118.59</v>
      </c>
      <c r="O191" s="16">
        <v>-6.6</v>
      </c>
      <c r="P191">
        <v>0</v>
      </c>
    </row>
    <row r="192" spans="1:16" x14ac:dyDescent="0.3">
      <c r="A192" t="s">
        <v>57</v>
      </c>
      <c r="B192" t="s">
        <v>19</v>
      </c>
      <c r="C192" t="s">
        <v>19</v>
      </c>
      <c r="D192" t="s">
        <v>12</v>
      </c>
      <c r="E192" t="s">
        <v>66</v>
      </c>
      <c r="F192" t="s">
        <v>13</v>
      </c>
      <c r="G192" s="15">
        <v>143.97999999999999</v>
      </c>
      <c r="H192" t="s">
        <v>26</v>
      </c>
      <c r="I192">
        <v>2</v>
      </c>
      <c r="J192" t="s">
        <v>48</v>
      </c>
      <c r="K192" t="s">
        <v>46</v>
      </c>
      <c r="L192" t="s">
        <v>45</v>
      </c>
      <c r="M192" t="s">
        <v>59</v>
      </c>
      <c r="N192" s="15">
        <v>170.56</v>
      </c>
      <c r="O192" s="16">
        <v>-15.6</v>
      </c>
      <c r="P192">
        <v>0</v>
      </c>
    </row>
    <row r="193" spans="1:16" x14ac:dyDescent="0.3">
      <c r="A193" t="s">
        <v>60</v>
      </c>
      <c r="B193" t="s">
        <v>20</v>
      </c>
      <c r="C193" t="s">
        <v>20</v>
      </c>
      <c r="D193" t="s">
        <v>10</v>
      </c>
      <c r="E193" t="s">
        <v>58</v>
      </c>
      <c r="F193" t="s">
        <v>9</v>
      </c>
      <c r="G193" s="15">
        <v>157.54</v>
      </c>
      <c r="H193" t="s">
        <v>26</v>
      </c>
      <c r="I193">
        <v>2</v>
      </c>
      <c r="J193" t="s">
        <v>48</v>
      </c>
      <c r="K193" t="s">
        <v>45</v>
      </c>
      <c r="L193" t="s">
        <v>45</v>
      </c>
      <c r="M193" t="s">
        <v>59</v>
      </c>
      <c r="N193" s="15">
        <v>152.03</v>
      </c>
      <c r="O193" s="16">
        <v>3.6</v>
      </c>
      <c r="P193">
        <v>0</v>
      </c>
    </row>
    <row r="194" spans="1:16" x14ac:dyDescent="0.3">
      <c r="A194" t="s">
        <v>57</v>
      </c>
      <c r="B194" t="s">
        <v>19</v>
      </c>
      <c r="C194" t="s">
        <v>19</v>
      </c>
      <c r="D194" t="s">
        <v>15</v>
      </c>
      <c r="E194" t="s">
        <v>76</v>
      </c>
      <c r="F194" t="s">
        <v>9</v>
      </c>
      <c r="G194" s="15">
        <v>136.71</v>
      </c>
      <c r="H194" t="s">
        <v>25</v>
      </c>
      <c r="I194">
        <v>1</v>
      </c>
      <c r="J194" t="s">
        <v>48</v>
      </c>
      <c r="K194" t="s">
        <v>45</v>
      </c>
      <c r="L194" t="s">
        <v>46</v>
      </c>
      <c r="M194" t="s">
        <v>72</v>
      </c>
      <c r="N194" s="15">
        <v>118.59</v>
      </c>
      <c r="O194" s="16">
        <v>15.3</v>
      </c>
      <c r="P194">
        <v>1</v>
      </c>
    </row>
    <row r="195" spans="1:16" x14ac:dyDescent="0.3">
      <c r="A195" t="s">
        <v>57</v>
      </c>
      <c r="B195" t="s">
        <v>20</v>
      </c>
      <c r="C195" t="s">
        <v>20</v>
      </c>
      <c r="D195" t="s">
        <v>10</v>
      </c>
      <c r="E195" t="s">
        <v>58</v>
      </c>
      <c r="F195" t="s">
        <v>9</v>
      </c>
      <c r="G195" s="15">
        <v>136.74</v>
      </c>
      <c r="H195" t="s">
        <v>26</v>
      </c>
      <c r="I195">
        <v>2</v>
      </c>
      <c r="J195" t="s">
        <v>48</v>
      </c>
      <c r="K195" t="s">
        <v>46</v>
      </c>
      <c r="L195" t="s">
        <v>45</v>
      </c>
      <c r="M195" t="s">
        <v>61</v>
      </c>
      <c r="N195" s="15">
        <v>151.19</v>
      </c>
      <c r="O195" s="16">
        <v>-9.6</v>
      </c>
      <c r="P195">
        <v>0</v>
      </c>
    </row>
    <row r="196" spans="1:16" x14ac:dyDescent="0.3">
      <c r="A196" t="s">
        <v>65</v>
      </c>
      <c r="B196" t="s">
        <v>17</v>
      </c>
      <c r="C196" t="s">
        <v>17</v>
      </c>
      <c r="D196" t="s">
        <v>12</v>
      </c>
      <c r="E196" t="s">
        <v>80</v>
      </c>
      <c r="F196" t="s">
        <v>13</v>
      </c>
      <c r="G196" s="15">
        <v>171.76</v>
      </c>
      <c r="H196" t="s">
        <v>26</v>
      </c>
      <c r="I196">
        <v>2</v>
      </c>
      <c r="J196" t="s">
        <v>47</v>
      </c>
      <c r="K196" t="s">
        <v>45</v>
      </c>
      <c r="L196" t="s">
        <v>45</v>
      </c>
      <c r="M196" t="s">
        <v>59</v>
      </c>
      <c r="N196" s="15">
        <v>176.57</v>
      </c>
      <c r="O196" s="16">
        <v>-2.7</v>
      </c>
      <c r="P196">
        <v>0</v>
      </c>
    </row>
    <row r="197" spans="1:16" x14ac:dyDescent="0.3">
      <c r="A197" t="s">
        <v>57</v>
      </c>
      <c r="B197" t="s">
        <v>19</v>
      </c>
      <c r="C197" t="s">
        <v>19</v>
      </c>
      <c r="D197" t="s">
        <v>8</v>
      </c>
      <c r="E197" t="s">
        <v>73</v>
      </c>
      <c r="F197" t="s">
        <v>9</v>
      </c>
      <c r="G197" s="15">
        <v>72.88</v>
      </c>
      <c r="H197" t="s">
        <v>26</v>
      </c>
      <c r="I197">
        <v>2</v>
      </c>
      <c r="J197" t="s">
        <v>48</v>
      </c>
      <c r="K197" t="s">
        <v>46</v>
      </c>
      <c r="L197" t="s">
        <v>46</v>
      </c>
      <c r="M197" t="s">
        <v>64</v>
      </c>
      <c r="N197" s="15">
        <v>86.06</v>
      </c>
      <c r="O197" s="16">
        <v>-15.3</v>
      </c>
      <c r="P197">
        <v>0</v>
      </c>
    </row>
    <row r="198" spans="1:16" x14ac:dyDescent="0.3">
      <c r="A198" t="s">
        <v>65</v>
      </c>
      <c r="B198" t="s">
        <v>20</v>
      </c>
      <c r="C198" t="s">
        <v>20</v>
      </c>
      <c r="D198" t="s">
        <v>14</v>
      </c>
      <c r="E198" t="s">
        <v>77</v>
      </c>
      <c r="F198" t="s">
        <v>9</v>
      </c>
      <c r="G198" s="15">
        <v>75.39</v>
      </c>
      <c r="H198" t="s">
        <v>26</v>
      </c>
      <c r="I198">
        <v>2</v>
      </c>
      <c r="J198" t="s">
        <v>47</v>
      </c>
      <c r="K198" t="s">
        <v>45</v>
      </c>
      <c r="L198" t="s">
        <v>45</v>
      </c>
      <c r="M198" t="s">
        <v>78</v>
      </c>
      <c r="N198" s="15">
        <v>70.66</v>
      </c>
      <c r="O198" s="16">
        <v>6.7</v>
      </c>
      <c r="P198">
        <v>0</v>
      </c>
    </row>
    <row r="199" spans="1:16" x14ac:dyDescent="0.3">
      <c r="A199" t="s">
        <v>60</v>
      </c>
      <c r="B199" t="s">
        <v>21</v>
      </c>
      <c r="C199" t="s">
        <v>62</v>
      </c>
      <c r="D199" t="s">
        <v>8</v>
      </c>
      <c r="E199" t="s">
        <v>74</v>
      </c>
      <c r="F199" t="s">
        <v>9</v>
      </c>
      <c r="G199" s="15">
        <v>67.38</v>
      </c>
      <c r="H199" t="s">
        <v>27</v>
      </c>
      <c r="I199">
        <v>3</v>
      </c>
      <c r="J199" t="s">
        <v>48</v>
      </c>
      <c r="K199" t="s">
        <v>46</v>
      </c>
      <c r="L199" t="s">
        <v>45</v>
      </c>
      <c r="M199" t="s">
        <v>78</v>
      </c>
      <c r="N199" s="15">
        <v>78.260000000000005</v>
      </c>
      <c r="O199" s="16">
        <v>-13.9</v>
      </c>
      <c r="P199">
        <v>0</v>
      </c>
    </row>
    <row r="200" spans="1:16" x14ac:dyDescent="0.3">
      <c r="A200" t="s">
        <v>65</v>
      </c>
      <c r="B200" t="s">
        <v>22</v>
      </c>
      <c r="C200" t="s">
        <v>22</v>
      </c>
      <c r="D200" t="s">
        <v>14</v>
      </c>
      <c r="E200" t="s">
        <v>77</v>
      </c>
      <c r="F200" t="s">
        <v>9</v>
      </c>
      <c r="G200" s="15">
        <v>78.52</v>
      </c>
      <c r="H200" t="s">
        <v>26</v>
      </c>
      <c r="I200">
        <v>2</v>
      </c>
      <c r="J200" t="s">
        <v>47</v>
      </c>
      <c r="K200" t="s">
        <v>45</v>
      </c>
      <c r="L200" t="s">
        <v>45</v>
      </c>
      <c r="M200" t="s">
        <v>78</v>
      </c>
      <c r="N200" s="15">
        <v>70.66</v>
      </c>
      <c r="O200" s="16">
        <v>11.1</v>
      </c>
      <c r="P200">
        <v>0</v>
      </c>
    </row>
    <row r="201" spans="1:16" x14ac:dyDescent="0.3">
      <c r="A201" t="s">
        <v>65</v>
      </c>
      <c r="B201" t="s">
        <v>22</v>
      </c>
      <c r="C201" t="s">
        <v>22</v>
      </c>
      <c r="D201" t="s">
        <v>14</v>
      </c>
      <c r="E201" t="s">
        <v>77</v>
      </c>
      <c r="F201" t="s">
        <v>9</v>
      </c>
      <c r="G201" s="15">
        <v>73.36</v>
      </c>
      <c r="H201" t="s">
        <v>27</v>
      </c>
      <c r="I201">
        <v>3</v>
      </c>
      <c r="J201" t="s">
        <v>47</v>
      </c>
      <c r="K201" t="s">
        <v>45</v>
      </c>
      <c r="L201" t="s">
        <v>45</v>
      </c>
      <c r="M201" t="s">
        <v>68</v>
      </c>
      <c r="N201" s="15">
        <v>70.66</v>
      </c>
      <c r="O201" s="16">
        <v>3.8</v>
      </c>
      <c r="P201">
        <v>0</v>
      </c>
    </row>
    <row r="202" spans="1:16" x14ac:dyDescent="0.3">
      <c r="A202" t="s">
        <v>65</v>
      </c>
      <c r="B202" t="s">
        <v>19</v>
      </c>
      <c r="C202" t="s">
        <v>19</v>
      </c>
      <c r="D202" t="s">
        <v>14</v>
      </c>
      <c r="E202" t="s">
        <v>63</v>
      </c>
      <c r="F202" t="s">
        <v>9</v>
      </c>
      <c r="G202" s="15">
        <v>61.92</v>
      </c>
      <c r="H202" t="s">
        <v>26</v>
      </c>
      <c r="I202">
        <v>2</v>
      </c>
      <c r="J202" t="s">
        <v>48</v>
      </c>
      <c r="K202" t="s">
        <v>45</v>
      </c>
      <c r="L202" t="s">
        <v>45</v>
      </c>
      <c r="M202" t="s">
        <v>68</v>
      </c>
      <c r="N202" s="15">
        <v>68.150000000000006</v>
      </c>
      <c r="O202" s="16">
        <v>-9.1</v>
      </c>
      <c r="P202">
        <v>0</v>
      </c>
    </row>
    <row r="203" spans="1:16" x14ac:dyDescent="0.3">
      <c r="A203" t="s">
        <v>60</v>
      </c>
      <c r="B203" t="s">
        <v>22</v>
      </c>
      <c r="C203" t="s">
        <v>22</v>
      </c>
      <c r="D203" t="s">
        <v>11</v>
      </c>
      <c r="E203" t="s">
        <v>79</v>
      </c>
      <c r="F203" t="s">
        <v>9</v>
      </c>
      <c r="G203" s="15">
        <v>24.29</v>
      </c>
      <c r="H203" t="s">
        <v>27</v>
      </c>
      <c r="I203">
        <v>3</v>
      </c>
      <c r="J203" t="s">
        <v>48</v>
      </c>
      <c r="K203" t="s">
        <v>46</v>
      </c>
      <c r="L203" t="s">
        <v>45</v>
      </c>
      <c r="M203" t="s">
        <v>64</v>
      </c>
      <c r="N203" s="15">
        <v>29.14</v>
      </c>
      <c r="O203" s="16">
        <v>-16.7</v>
      </c>
      <c r="P203">
        <v>0</v>
      </c>
    </row>
    <row r="204" spans="1:16" x14ac:dyDescent="0.3">
      <c r="A204" t="s">
        <v>65</v>
      </c>
      <c r="B204" t="s">
        <v>17</v>
      </c>
      <c r="C204" t="s">
        <v>17</v>
      </c>
      <c r="D204" t="s">
        <v>10</v>
      </c>
      <c r="E204" t="s">
        <v>58</v>
      </c>
      <c r="F204" t="s">
        <v>9</v>
      </c>
      <c r="G204" s="15">
        <v>127.65</v>
      </c>
      <c r="H204" t="s">
        <v>27</v>
      </c>
      <c r="I204">
        <v>3</v>
      </c>
      <c r="J204" t="s">
        <v>48</v>
      </c>
      <c r="K204" t="s">
        <v>46</v>
      </c>
      <c r="L204" t="s">
        <v>45</v>
      </c>
      <c r="M204" t="s">
        <v>67</v>
      </c>
      <c r="N204" s="15">
        <v>166.29</v>
      </c>
      <c r="O204" s="16">
        <v>-23.2</v>
      </c>
      <c r="P204">
        <v>0</v>
      </c>
    </row>
    <row r="205" spans="1:16" x14ac:dyDescent="0.3">
      <c r="A205" t="s">
        <v>57</v>
      </c>
      <c r="B205" t="s">
        <v>17</v>
      </c>
      <c r="C205" t="s">
        <v>17</v>
      </c>
      <c r="D205" t="s">
        <v>12</v>
      </c>
      <c r="E205" t="s">
        <v>80</v>
      </c>
      <c r="F205" t="s">
        <v>13</v>
      </c>
      <c r="G205" s="15">
        <v>145.29</v>
      </c>
      <c r="H205" t="s">
        <v>27</v>
      </c>
      <c r="I205">
        <v>3</v>
      </c>
      <c r="J205" t="s">
        <v>48</v>
      </c>
      <c r="K205" t="s">
        <v>46</v>
      </c>
      <c r="L205" t="s">
        <v>45</v>
      </c>
      <c r="M205" t="s">
        <v>72</v>
      </c>
      <c r="N205" s="15">
        <v>162.72999999999999</v>
      </c>
      <c r="O205" s="16">
        <v>-10.7</v>
      </c>
      <c r="P205">
        <v>0</v>
      </c>
    </row>
    <row r="206" spans="1:16" x14ac:dyDescent="0.3">
      <c r="A206" t="s">
        <v>60</v>
      </c>
      <c r="B206" t="s">
        <v>17</v>
      </c>
      <c r="C206" t="s">
        <v>17</v>
      </c>
      <c r="D206" t="s">
        <v>15</v>
      </c>
      <c r="E206" t="s">
        <v>76</v>
      </c>
      <c r="F206" t="s">
        <v>9</v>
      </c>
      <c r="G206" s="15">
        <v>97.63</v>
      </c>
      <c r="H206" t="s">
        <v>27</v>
      </c>
      <c r="I206">
        <v>3</v>
      </c>
      <c r="J206" t="s">
        <v>48</v>
      </c>
      <c r="K206" t="s">
        <v>46</v>
      </c>
      <c r="L206" t="s">
        <v>45</v>
      </c>
      <c r="M206" t="s">
        <v>64</v>
      </c>
      <c r="N206" s="15">
        <v>116.32</v>
      </c>
      <c r="O206" s="16">
        <v>-16.100000000000001</v>
      </c>
      <c r="P206">
        <v>0</v>
      </c>
    </row>
    <row r="207" spans="1:16" x14ac:dyDescent="0.3">
      <c r="A207" t="s">
        <v>65</v>
      </c>
      <c r="B207" t="s">
        <v>21</v>
      </c>
      <c r="C207" t="s">
        <v>62</v>
      </c>
      <c r="D207" t="s">
        <v>8</v>
      </c>
      <c r="E207" t="s">
        <v>74</v>
      </c>
      <c r="F207" t="s">
        <v>9</v>
      </c>
      <c r="G207" s="15">
        <v>120</v>
      </c>
      <c r="H207" t="s">
        <v>25</v>
      </c>
      <c r="I207">
        <v>1</v>
      </c>
      <c r="J207" t="s">
        <v>47</v>
      </c>
      <c r="K207" t="s">
        <v>45</v>
      </c>
      <c r="L207" t="s">
        <v>45</v>
      </c>
      <c r="M207" t="s">
        <v>64</v>
      </c>
      <c r="N207" s="15">
        <v>91.13</v>
      </c>
      <c r="O207" s="16">
        <v>31.7</v>
      </c>
      <c r="P207">
        <v>1</v>
      </c>
    </row>
    <row r="208" spans="1:16" x14ac:dyDescent="0.3">
      <c r="A208" t="s">
        <v>60</v>
      </c>
      <c r="B208" t="s">
        <v>19</v>
      </c>
      <c r="C208" t="s">
        <v>19</v>
      </c>
      <c r="D208" t="s">
        <v>14</v>
      </c>
      <c r="E208" t="s">
        <v>77</v>
      </c>
      <c r="F208" t="s">
        <v>9</v>
      </c>
      <c r="G208" s="15">
        <v>69.239999999999995</v>
      </c>
      <c r="H208" t="s">
        <v>26</v>
      </c>
      <c r="I208">
        <v>2</v>
      </c>
      <c r="J208" t="s">
        <v>48</v>
      </c>
      <c r="K208" t="s">
        <v>45</v>
      </c>
      <c r="L208" t="s">
        <v>45</v>
      </c>
      <c r="M208" t="s">
        <v>61</v>
      </c>
      <c r="N208" s="15">
        <v>67.13</v>
      </c>
      <c r="O208" s="16">
        <v>3.1</v>
      </c>
      <c r="P208">
        <v>0</v>
      </c>
    </row>
    <row r="209" spans="1:16" x14ac:dyDescent="0.3">
      <c r="A209" t="s">
        <v>65</v>
      </c>
      <c r="B209" t="s">
        <v>22</v>
      </c>
      <c r="C209" t="s">
        <v>22</v>
      </c>
      <c r="D209" t="s">
        <v>15</v>
      </c>
      <c r="E209" t="s">
        <v>75</v>
      </c>
      <c r="F209" t="s">
        <v>9</v>
      </c>
      <c r="G209" s="15">
        <v>139</v>
      </c>
      <c r="H209" t="s">
        <v>25</v>
      </c>
      <c r="I209">
        <v>1</v>
      </c>
      <c r="J209" t="s">
        <v>48</v>
      </c>
      <c r="K209" t="s">
        <v>45</v>
      </c>
      <c r="L209" t="s">
        <v>46</v>
      </c>
      <c r="M209" t="s">
        <v>72</v>
      </c>
      <c r="N209" s="15">
        <v>126.9</v>
      </c>
      <c r="O209" s="16">
        <v>9.5</v>
      </c>
      <c r="P209">
        <v>0</v>
      </c>
    </row>
    <row r="210" spans="1:16" x14ac:dyDescent="0.3">
      <c r="A210" t="s">
        <v>57</v>
      </c>
      <c r="B210" t="s">
        <v>21</v>
      </c>
      <c r="C210" t="s">
        <v>62</v>
      </c>
      <c r="D210" t="s">
        <v>11</v>
      </c>
      <c r="E210" t="s">
        <v>70</v>
      </c>
      <c r="F210" t="s">
        <v>9</v>
      </c>
      <c r="G210" s="15">
        <v>24.87</v>
      </c>
      <c r="H210" t="s">
        <v>26</v>
      </c>
      <c r="I210">
        <v>2</v>
      </c>
      <c r="J210" t="s">
        <v>48</v>
      </c>
      <c r="K210" t="s">
        <v>45</v>
      </c>
      <c r="L210" t="s">
        <v>45</v>
      </c>
      <c r="M210" t="s">
        <v>68</v>
      </c>
      <c r="N210" s="15">
        <v>30.5</v>
      </c>
      <c r="O210" s="16">
        <v>-18.5</v>
      </c>
      <c r="P210">
        <v>0</v>
      </c>
    </row>
    <row r="211" spans="1:16" x14ac:dyDescent="0.3">
      <c r="A211" t="s">
        <v>65</v>
      </c>
      <c r="B211" t="s">
        <v>19</v>
      </c>
      <c r="C211" t="s">
        <v>19</v>
      </c>
      <c r="D211" t="s">
        <v>8</v>
      </c>
      <c r="E211" t="s">
        <v>74</v>
      </c>
      <c r="F211" t="s">
        <v>9</v>
      </c>
      <c r="G211" s="15">
        <v>100.88</v>
      </c>
      <c r="H211" t="s">
        <v>25</v>
      </c>
      <c r="I211">
        <v>1</v>
      </c>
      <c r="J211" t="s">
        <v>48</v>
      </c>
      <c r="K211" t="s">
        <v>45</v>
      </c>
      <c r="L211" t="s">
        <v>45</v>
      </c>
      <c r="M211" t="s">
        <v>72</v>
      </c>
      <c r="N211" s="15">
        <v>91.13</v>
      </c>
      <c r="O211" s="16">
        <v>10.7</v>
      </c>
      <c r="P211">
        <v>0</v>
      </c>
    </row>
    <row r="212" spans="1:16" x14ac:dyDescent="0.3">
      <c r="A212" t="s">
        <v>57</v>
      </c>
      <c r="B212" t="s">
        <v>22</v>
      </c>
      <c r="C212" t="s">
        <v>22</v>
      </c>
      <c r="D212" t="s">
        <v>15</v>
      </c>
      <c r="E212" t="s">
        <v>76</v>
      </c>
      <c r="F212" t="s">
        <v>9</v>
      </c>
      <c r="G212" s="15">
        <v>107.38</v>
      </c>
      <c r="H212" t="s">
        <v>26</v>
      </c>
      <c r="I212">
        <v>2</v>
      </c>
      <c r="J212" t="s">
        <v>48</v>
      </c>
      <c r="K212" t="s">
        <v>45</v>
      </c>
      <c r="L212" t="s">
        <v>45</v>
      </c>
      <c r="M212" t="s">
        <v>67</v>
      </c>
      <c r="N212" s="15">
        <v>118.59</v>
      </c>
      <c r="O212" s="16">
        <v>-9.5</v>
      </c>
      <c r="P212">
        <v>0</v>
      </c>
    </row>
    <row r="213" spans="1:16" x14ac:dyDescent="0.3">
      <c r="A213" t="s">
        <v>57</v>
      </c>
      <c r="B213" t="s">
        <v>22</v>
      </c>
      <c r="C213" t="s">
        <v>22</v>
      </c>
      <c r="D213" t="s">
        <v>15</v>
      </c>
      <c r="E213" t="s">
        <v>75</v>
      </c>
      <c r="F213" t="s">
        <v>9</v>
      </c>
      <c r="G213" s="15">
        <v>135.22999999999999</v>
      </c>
      <c r="H213" t="s">
        <v>25</v>
      </c>
      <c r="I213">
        <v>1</v>
      </c>
      <c r="J213" t="s">
        <v>44</v>
      </c>
      <c r="K213" t="s">
        <v>46</v>
      </c>
      <c r="L213" t="s">
        <v>45</v>
      </c>
      <c r="M213" t="s">
        <v>64</v>
      </c>
      <c r="N213" s="15">
        <v>120.06</v>
      </c>
      <c r="O213" s="16">
        <v>12.6</v>
      </c>
      <c r="P213">
        <v>0</v>
      </c>
    </row>
    <row r="214" spans="1:16" x14ac:dyDescent="0.3">
      <c r="A214" t="s">
        <v>57</v>
      </c>
      <c r="B214" t="s">
        <v>18</v>
      </c>
      <c r="C214" t="s">
        <v>18</v>
      </c>
      <c r="D214" t="s">
        <v>14</v>
      </c>
      <c r="E214" t="s">
        <v>63</v>
      </c>
      <c r="F214" t="s">
        <v>9</v>
      </c>
      <c r="G214" s="15">
        <v>70.97</v>
      </c>
      <c r="H214" t="s">
        <v>26</v>
      </c>
      <c r="I214">
        <v>2</v>
      </c>
      <c r="J214" t="s">
        <v>48</v>
      </c>
      <c r="K214" t="s">
        <v>46</v>
      </c>
      <c r="L214" t="s">
        <v>46</v>
      </c>
      <c r="M214" t="s">
        <v>78</v>
      </c>
      <c r="N214" s="15">
        <v>65.16</v>
      </c>
      <c r="O214" s="16">
        <v>8.9</v>
      </c>
      <c r="P214">
        <v>0</v>
      </c>
    </row>
    <row r="215" spans="1:16" x14ac:dyDescent="0.3">
      <c r="A215" t="s">
        <v>65</v>
      </c>
      <c r="B215" t="s">
        <v>19</v>
      </c>
      <c r="C215" t="s">
        <v>19</v>
      </c>
      <c r="D215" t="s">
        <v>14</v>
      </c>
      <c r="E215" t="s">
        <v>77</v>
      </c>
      <c r="F215" t="s">
        <v>9</v>
      </c>
      <c r="G215" s="15">
        <v>80</v>
      </c>
      <c r="H215" t="s">
        <v>26</v>
      </c>
      <c r="I215">
        <v>2</v>
      </c>
      <c r="J215" t="s">
        <v>44</v>
      </c>
      <c r="K215" t="s">
        <v>46</v>
      </c>
      <c r="L215" t="s">
        <v>45</v>
      </c>
      <c r="M215" t="s">
        <v>64</v>
      </c>
      <c r="N215" s="15">
        <v>70.66</v>
      </c>
      <c r="O215" s="16">
        <v>13.2</v>
      </c>
      <c r="P215">
        <v>0</v>
      </c>
    </row>
    <row r="216" spans="1:16" x14ac:dyDescent="0.3">
      <c r="A216" t="s">
        <v>65</v>
      </c>
      <c r="B216" t="s">
        <v>18</v>
      </c>
      <c r="C216" t="s">
        <v>18</v>
      </c>
      <c r="D216" t="s">
        <v>15</v>
      </c>
      <c r="E216" t="s">
        <v>76</v>
      </c>
      <c r="F216" t="s">
        <v>9</v>
      </c>
      <c r="G216" s="15">
        <v>126.51</v>
      </c>
      <c r="H216" t="s">
        <v>26</v>
      </c>
      <c r="I216">
        <v>2</v>
      </c>
      <c r="J216" t="s">
        <v>47</v>
      </c>
      <c r="K216" t="s">
        <v>45</v>
      </c>
      <c r="L216" t="s">
        <v>45</v>
      </c>
      <c r="M216" t="s">
        <v>72</v>
      </c>
      <c r="N216" s="15">
        <v>126.51</v>
      </c>
      <c r="O216" s="16">
        <v>0</v>
      </c>
      <c r="P216">
        <v>0</v>
      </c>
    </row>
    <row r="217" spans="1:16" x14ac:dyDescent="0.3">
      <c r="A217" t="s">
        <v>60</v>
      </c>
      <c r="B217" t="s">
        <v>17</v>
      </c>
      <c r="C217" t="s">
        <v>17</v>
      </c>
      <c r="D217" t="s">
        <v>10</v>
      </c>
      <c r="E217" t="s">
        <v>58</v>
      </c>
      <c r="F217" t="s">
        <v>9</v>
      </c>
      <c r="G217" s="15">
        <v>150.57</v>
      </c>
      <c r="H217" t="s">
        <v>26</v>
      </c>
      <c r="I217">
        <v>2</v>
      </c>
      <c r="J217" t="s">
        <v>48</v>
      </c>
      <c r="K217" t="s">
        <v>46</v>
      </c>
      <c r="L217" t="s">
        <v>45</v>
      </c>
      <c r="M217" t="s">
        <v>78</v>
      </c>
      <c r="N217" s="15">
        <v>152.03</v>
      </c>
      <c r="O217" s="16">
        <v>-1</v>
      </c>
      <c r="P217">
        <v>0</v>
      </c>
    </row>
    <row r="218" spans="1:16" x14ac:dyDescent="0.3">
      <c r="A218" t="s">
        <v>65</v>
      </c>
      <c r="B218" t="s">
        <v>18</v>
      </c>
      <c r="C218" t="s">
        <v>18</v>
      </c>
      <c r="D218" t="s">
        <v>8</v>
      </c>
      <c r="E218" t="s">
        <v>73</v>
      </c>
      <c r="F218" t="s">
        <v>9</v>
      </c>
      <c r="G218" s="15">
        <v>80.209999999999994</v>
      </c>
      <c r="H218" t="s">
        <v>26</v>
      </c>
      <c r="I218">
        <v>2</v>
      </c>
      <c r="J218" t="s">
        <v>47</v>
      </c>
      <c r="K218" t="s">
        <v>45</v>
      </c>
      <c r="L218" t="s">
        <v>45</v>
      </c>
      <c r="M218" t="s">
        <v>67</v>
      </c>
      <c r="N218" s="15">
        <v>88.05</v>
      </c>
      <c r="O218" s="16">
        <v>-8.9</v>
      </c>
      <c r="P218">
        <v>0</v>
      </c>
    </row>
    <row r="219" spans="1:16" x14ac:dyDescent="0.3">
      <c r="A219" t="s">
        <v>60</v>
      </c>
      <c r="B219" t="s">
        <v>19</v>
      </c>
      <c r="C219" t="s">
        <v>19</v>
      </c>
      <c r="D219" t="s">
        <v>12</v>
      </c>
      <c r="E219" t="s">
        <v>66</v>
      </c>
      <c r="F219" t="s">
        <v>13</v>
      </c>
      <c r="G219" s="15">
        <v>149.52000000000001</v>
      </c>
      <c r="H219" t="s">
        <v>26</v>
      </c>
      <c r="I219">
        <v>2</v>
      </c>
      <c r="J219" t="s">
        <v>48</v>
      </c>
      <c r="K219" t="s">
        <v>45</v>
      </c>
      <c r="L219" t="s">
        <v>45</v>
      </c>
      <c r="M219" t="s">
        <v>61</v>
      </c>
      <c r="N219" s="15">
        <v>168.34</v>
      </c>
      <c r="O219" s="16">
        <v>-11.2</v>
      </c>
      <c r="P219">
        <v>0</v>
      </c>
    </row>
    <row r="220" spans="1:16" x14ac:dyDescent="0.3">
      <c r="A220" t="s">
        <v>57</v>
      </c>
      <c r="B220" t="s">
        <v>22</v>
      </c>
      <c r="C220" t="s">
        <v>22</v>
      </c>
      <c r="D220" t="s">
        <v>12</v>
      </c>
      <c r="E220" t="s">
        <v>80</v>
      </c>
      <c r="F220" t="s">
        <v>13</v>
      </c>
      <c r="G220" s="15">
        <v>163.66999999999999</v>
      </c>
      <c r="H220" t="s">
        <v>26</v>
      </c>
      <c r="I220">
        <v>2</v>
      </c>
      <c r="J220" t="s">
        <v>47</v>
      </c>
      <c r="K220" t="s">
        <v>46</v>
      </c>
      <c r="L220" t="s">
        <v>45</v>
      </c>
      <c r="M220" t="s">
        <v>61</v>
      </c>
      <c r="N220" s="15">
        <v>162.72999999999999</v>
      </c>
      <c r="O220" s="16">
        <v>0.6</v>
      </c>
      <c r="P220">
        <v>0</v>
      </c>
    </row>
    <row r="221" spans="1:16" x14ac:dyDescent="0.3">
      <c r="A221" t="s">
        <v>65</v>
      </c>
      <c r="B221" t="s">
        <v>22</v>
      </c>
      <c r="C221" t="s">
        <v>22</v>
      </c>
      <c r="D221" t="s">
        <v>14</v>
      </c>
      <c r="E221" t="s">
        <v>71</v>
      </c>
      <c r="F221" t="s">
        <v>9</v>
      </c>
      <c r="G221" s="15">
        <v>80</v>
      </c>
      <c r="H221" t="s">
        <v>25</v>
      </c>
      <c r="I221">
        <v>1</v>
      </c>
      <c r="J221" t="s">
        <v>48</v>
      </c>
      <c r="K221" t="s">
        <v>45</v>
      </c>
      <c r="L221" t="s">
        <v>45</v>
      </c>
      <c r="M221" t="s">
        <v>64</v>
      </c>
      <c r="N221" s="15">
        <v>71.77</v>
      </c>
      <c r="O221" s="16">
        <v>11.5</v>
      </c>
      <c r="P221">
        <v>0</v>
      </c>
    </row>
    <row r="222" spans="1:16" x14ac:dyDescent="0.3">
      <c r="A222" t="s">
        <v>65</v>
      </c>
      <c r="B222" t="s">
        <v>18</v>
      </c>
      <c r="C222" t="s">
        <v>18</v>
      </c>
      <c r="D222" t="s">
        <v>8</v>
      </c>
      <c r="E222" t="s">
        <v>73</v>
      </c>
      <c r="F222" t="s">
        <v>9</v>
      </c>
      <c r="G222" s="15">
        <v>93.11</v>
      </c>
      <c r="H222" t="s">
        <v>27</v>
      </c>
      <c r="I222">
        <v>3</v>
      </c>
      <c r="J222" t="s">
        <v>44</v>
      </c>
      <c r="K222" t="s">
        <v>45</v>
      </c>
      <c r="L222" t="s">
        <v>45</v>
      </c>
      <c r="M222" t="s">
        <v>61</v>
      </c>
      <c r="N222" s="15">
        <v>88.05</v>
      </c>
      <c r="O222" s="16">
        <v>5.7</v>
      </c>
      <c r="P222">
        <v>0</v>
      </c>
    </row>
    <row r="223" spans="1:16" x14ac:dyDescent="0.3">
      <c r="A223" t="s">
        <v>65</v>
      </c>
      <c r="B223" t="s">
        <v>17</v>
      </c>
      <c r="C223" t="s">
        <v>17</v>
      </c>
      <c r="D223" t="s">
        <v>14</v>
      </c>
      <c r="E223" t="s">
        <v>77</v>
      </c>
      <c r="F223" t="s">
        <v>9</v>
      </c>
      <c r="G223" s="15">
        <v>78.819999999999993</v>
      </c>
      <c r="H223" t="s">
        <v>26</v>
      </c>
      <c r="I223">
        <v>2</v>
      </c>
      <c r="J223" t="s">
        <v>47</v>
      </c>
      <c r="K223" t="s">
        <v>45</v>
      </c>
      <c r="L223" t="s">
        <v>45</v>
      </c>
      <c r="M223" t="s">
        <v>72</v>
      </c>
      <c r="N223" s="15">
        <v>70.66</v>
      </c>
      <c r="O223" s="16">
        <v>11.5</v>
      </c>
      <c r="P223">
        <v>0</v>
      </c>
    </row>
    <row r="224" spans="1:16" x14ac:dyDescent="0.3">
      <c r="A224" t="s">
        <v>65</v>
      </c>
      <c r="B224" t="s">
        <v>21</v>
      </c>
      <c r="C224" t="s">
        <v>62</v>
      </c>
      <c r="D224" t="s">
        <v>12</v>
      </c>
      <c r="E224" t="s">
        <v>66</v>
      </c>
      <c r="F224" t="s">
        <v>13</v>
      </c>
      <c r="G224" s="15">
        <v>156.63999999999999</v>
      </c>
      <c r="H224" t="s">
        <v>26</v>
      </c>
      <c r="I224">
        <v>2</v>
      </c>
      <c r="J224" t="s">
        <v>47</v>
      </c>
      <c r="K224" t="s">
        <v>46</v>
      </c>
      <c r="L224" t="s">
        <v>45</v>
      </c>
      <c r="M224" t="s">
        <v>68</v>
      </c>
      <c r="N224" s="15">
        <v>178.49</v>
      </c>
      <c r="O224" s="16">
        <v>-12.2</v>
      </c>
      <c r="P224">
        <v>0</v>
      </c>
    </row>
    <row r="225" spans="1:16" x14ac:dyDescent="0.3">
      <c r="A225" t="s">
        <v>57</v>
      </c>
      <c r="B225" t="s">
        <v>22</v>
      </c>
      <c r="C225" t="s">
        <v>22</v>
      </c>
      <c r="D225" t="s">
        <v>8</v>
      </c>
      <c r="E225" t="s">
        <v>74</v>
      </c>
      <c r="F225" t="s">
        <v>9</v>
      </c>
      <c r="G225" s="15">
        <v>98.93</v>
      </c>
      <c r="H225" t="s">
        <v>25</v>
      </c>
      <c r="I225">
        <v>1</v>
      </c>
      <c r="J225" t="s">
        <v>48</v>
      </c>
      <c r="K225" t="s">
        <v>46</v>
      </c>
      <c r="L225" t="s">
        <v>45</v>
      </c>
      <c r="M225" t="s">
        <v>72</v>
      </c>
      <c r="N225" s="15">
        <v>83.41</v>
      </c>
      <c r="O225" s="16">
        <v>18.600000000000001</v>
      </c>
      <c r="P225">
        <v>1</v>
      </c>
    </row>
    <row r="226" spans="1:16" x14ac:dyDescent="0.3">
      <c r="A226" t="s">
        <v>60</v>
      </c>
      <c r="B226" t="s">
        <v>21</v>
      </c>
      <c r="C226" t="s">
        <v>62</v>
      </c>
      <c r="D226" t="s">
        <v>12</v>
      </c>
      <c r="E226" t="s">
        <v>80</v>
      </c>
      <c r="F226" t="s">
        <v>13</v>
      </c>
      <c r="G226" s="15">
        <v>188.49</v>
      </c>
      <c r="H226" t="s">
        <v>26</v>
      </c>
      <c r="I226">
        <v>2</v>
      </c>
      <c r="J226" t="s">
        <v>48</v>
      </c>
      <c r="K226" t="s">
        <v>45</v>
      </c>
      <c r="L226" t="s">
        <v>45</v>
      </c>
      <c r="M226" t="s">
        <v>64</v>
      </c>
      <c r="N226" s="15">
        <v>167.63</v>
      </c>
      <c r="O226" s="16">
        <v>12.4</v>
      </c>
      <c r="P226">
        <v>0</v>
      </c>
    </row>
    <row r="227" spans="1:16" x14ac:dyDescent="0.3">
      <c r="A227" t="s">
        <v>60</v>
      </c>
      <c r="B227" t="s">
        <v>21</v>
      </c>
      <c r="C227" t="s">
        <v>62</v>
      </c>
      <c r="D227" t="s">
        <v>8</v>
      </c>
      <c r="E227" t="s">
        <v>73</v>
      </c>
      <c r="F227" t="s">
        <v>9</v>
      </c>
      <c r="G227" s="15">
        <v>59.42</v>
      </c>
      <c r="H227" t="s">
        <v>26</v>
      </c>
      <c r="I227">
        <v>2</v>
      </c>
      <c r="J227" t="s">
        <v>48</v>
      </c>
      <c r="K227" t="s">
        <v>46</v>
      </c>
      <c r="L227" t="s">
        <v>45</v>
      </c>
      <c r="M227" t="s">
        <v>67</v>
      </c>
      <c r="N227" s="15">
        <v>82.04</v>
      </c>
      <c r="O227" s="16">
        <v>-27.6</v>
      </c>
      <c r="P227">
        <v>0</v>
      </c>
    </row>
    <row r="228" spans="1:16" x14ac:dyDescent="0.3">
      <c r="A228" t="s">
        <v>65</v>
      </c>
      <c r="B228" t="s">
        <v>19</v>
      </c>
      <c r="C228" t="s">
        <v>19</v>
      </c>
      <c r="D228" t="s">
        <v>14</v>
      </c>
      <c r="E228" t="s">
        <v>71</v>
      </c>
      <c r="F228" t="s">
        <v>9</v>
      </c>
      <c r="G228" s="15">
        <v>72.16</v>
      </c>
      <c r="H228" t="s">
        <v>26</v>
      </c>
      <c r="I228">
        <v>2</v>
      </c>
      <c r="J228" t="s">
        <v>48</v>
      </c>
      <c r="K228" t="s">
        <v>45</v>
      </c>
      <c r="L228" t="s">
        <v>45</v>
      </c>
      <c r="M228" t="s">
        <v>78</v>
      </c>
      <c r="N228" s="15">
        <v>71.77</v>
      </c>
      <c r="O228" s="16">
        <v>0.5</v>
      </c>
      <c r="P228">
        <v>0</v>
      </c>
    </row>
    <row r="229" spans="1:16" x14ac:dyDescent="0.3">
      <c r="A229" t="s">
        <v>65</v>
      </c>
      <c r="B229" t="s">
        <v>22</v>
      </c>
      <c r="C229" t="s">
        <v>22</v>
      </c>
      <c r="D229" t="s">
        <v>15</v>
      </c>
      <c r="E229" t="s">
        <v>75</v>
      </c>
      <c r="F229" t="s">
        <v>9</v>
      </c>
      <c r="G229" s="15">
        <v>128.87</v>
      </c>
      <c r="H229" t="s">
        <v>27</v>
      </c>
      <c r="I229">
        <v>3</v>
      </c>
      <c r="J229" t="s">
        <v>47</v>
      </c>
      <c r="K229" t="s">
        <v>45</v>
      </c>
      <c r="L229" t="s">
        <v>46</v>
      </c>
      <c r="M229" t="s">
        <v>61</v>
      </c>
      <c r="N229" s="15">
        <v>126.9</v>
      </c>
      <c r="O229" s="16">
        <v>1.6</v>
      </c>
      <c r="P229">
        <v>0</v>
      </c>
    </row>
    <row r="230" spans="1:16" x14ac:dyDescent="0.3">
      <c r="A230" t="s">
        <v>65</v>
      </c>
      <c r="B230" t="s">
        <v>21</v>
      </c>
      <c r="C230" t="s">
        <v>62</v>
      </c>
      <c r="D230" t="s">
        <v>11</v>
      </c>
      <c r="E230" t="s">
        <v>79</v>
      </c>
      <c r="F230" t="s">
        <v>9</v>
      </c>
      <c r="G230" s="15">
        <v>35.29</v>
      </c>
      <c r="H230" t="s">
        <v>26</v>
      </c>
      <c r="I230">
        <v>2</v>
      </c>
      <c r="J230" t="s">
        <v>48</v>
      </c>
      <c r="K230" t="s">
        <v>45</v>
      </c>
      <c r="L230" t="s">
        <v>45</v>
      </c>
      <c r="M230" t="s">
        <v>59</v>
      </c>
      <c r="N230" s="15">
        <v>33.39</v>
      </c>
      <c r="O230" s="16">
        <v>5.7</v>
      </c>
      <c r="P230">
        <v>0</v>
      </c>
    </row>
    <row r="231" spans="1:16" x14ac:dyDescent="0.3">
      <c r="A231" t="s">
        <v>60</v>
      </c>
      <c r="B231" t="s">
        <v>21</v>
      </c>
      <c r="C231" t="s">
        <v>62</v>
      </c>
      <c r="D231" t="s">
        <v>11</v>
      </c>
      <c r="E231" t="s">
        <v>79</v>
      </c>
      <c r="F231" t="s">
        <v>9</v>
      </c>
      <c r="G231" s="15">
        <v>31.31</v>
      </c>
      <c r="H231" t="s">
        <v>26</v>
      </c>
      <c r="I231">
        <v>2</v>
      </c>
      <c r="J231" t="s">
        <v>48</v>
      </c>
      <c r="K231" t="s">
        <v>45</v>
      </c>
      <c r="L231" t="s">
        <v>45</v>
      </c>
      <c r="M231" t="s">
        <v>61</v>
      </c>
      <c r="N231" s="15">
        <v>29.14</v>
      </c>
      <c r="O231" s="16">
        <v>7.4</v>
      </c>
      <c r="P231">
        <v>0</v>
      </c>
    </row>
    <row r="232" spans="1:16" x14ac:dyDescent="0.3">
      <c r="A232" t="s">
        <v>57</v>
      </c>
      <c r="B232" t="s">
        <v>19</v>
      </c>
      <c r="C232" t="s">
        <v>19</v>
      </c>
      <c r="D232" t="s">
        <v>12</v>
      </c>
      <c r="E232" t="s">
        <v>66</v>
      </c>
      <c r="F232" t="s">
        <v>13</v>
      </c>
      <c r="G232" s="15">
        <v>139.22</v>
      </c>
      <c r="H232" t="s">
        <v>26</v>
      </c>
      <c r="I232">
        <v>2</v>
      </c>
      <c r="J232" t="s">
        <v>48</v>
      </c>
      <c r="K232" t="s">
        <v>46</v>
      </c>
      <c r="L232" t="s">
        <v>45</v>
      </c>
      <c r="M232" t="s">
        <v>68</v>
      </c>
      <c r="N232" s="15">
        <v>170.56</v>
      </c>
      <c r="O232" s="16">
        <v>-18.399999999999999</v>
      </c>
      <c r="P232">
        <v>0</v>
      </c>
    </row>
    <row r="233" spans="1:16" x14ac:dyDescent="0.3">
      <c r="A233" t="s">
        <v>57</v>
      </c>
      <c r="B233" t="s">
        <v>19</v>
      </c>
      <c r="C233" t="s">
        <v>19</v>
      </c>
      <c r="D233" t="s">
        <v>8</v>
      </c>
      <c r="E233" t="s">
        <v>74</v>
      </c>
      <c r="F233" t="s">
        <v>9</v>
      </c>
      <c r="G233" s="15">
        <v>79.61</v>
      </c>
      <c r="H233" t="s">
        <v>27</v>
      </c>
      <c r="I233">
        <v>3</v>
      </c>
      <c r="J233" t="s">
        <v>48</v>
      </c>
      <c r="K233" t="s">
        <v>45</v>
      </c>
      <c r="L233" t="s">
        <v>46</v>
      </c>
      <c r="M233" t="s">
        <v>78</v>
      </c>
      <c r="N233" s="15">
        <v>83.41</v>
      </c>
      <c r="O233" s="16">
        <v>-4.5999999999999996</v>
      </c>
      <c r="P233">
        <v>0</v>
      </c>
    </row>
    <row r="234" spans="1:16" x14ac:dyDescent="0.3">
      <c r="A234" t="s">
        <v>65</v>
      </c>
      <c r="B234" t="s">
        <v>19</v>
      </c>
      <c r="C234" t="s">
        <v>19</v>
      </c>
      <c r="D234" t="s">
        <v>14</v>
      </c>
      <c r="E234" t="s">
        <v>63</v>
      </c>
      <c r="F234" t="s">
        <v>9</v>
      </c>
      <c r="G234" s="15">
        <v>62.84</v>
      </c>
      <c r="H234" t="s">
        <v>27</v>
      </c>
      <c r="I234">
        <v>3</v>
      </c>
      <c r="J234" t="s">
        <v>48</v>
      </c>
      <c r="K234" t="s">
        <v>45</v>
      </c>
      <c r="L234" t="s">
        <v>45</v>
      </c>
      <c r="M234" t="s">
        <v>61</v>
      </c>
      <c r="N234" s="15">
        <v>68.150000000000006</v>
      </c>
      <c r="O234" s="16">
        <v>-7.8</v>
      </c>
      <c r="P234">
        <v>0</v>
      </c>
    </row>
    <row r="235" spans="1:16" x14ac:dyDescent="0.3">
      <c r="A235" t="s">
        <v>57</v>
      </c>
      <c r="B235" t="s">
        <v>19</v>
      </c>
      <c r="C235" t="s">
        <v>19</v>
      </c>
      <c r="D235" t="s">
        <v>10</v>
      </c>
      <c r="E235" t="s">
        <v>69</v>
      </c>
      <c r="F235" t="s">
        <v>9</v>
      </c>
      <c r="G235" s="15">
        <v>128.35</v>
      </c>
      <c r="H235" t="s">
        <v>26</v>
      </c>
      <c r="I235">
        <v>2</v>
      </c>
      <c r="J235" t="s">
        <v>48</v>
      </c>
      <c r="K235" t="s">
        <v>46</v>
      </c>
      <c r="L235" t="s">
        <v>45</v>
      </c>
      <c r="M235" t="s">
        <v>64</v>
      </c>
      <c r="N235" s="15">
        <v>150.38999999999999</v>
      </c>
      <c r="O235" s="16">
        <v>-14.7</v>
      </c>
      <c r="P235">
        <v>0</v>
      </c>
    </row>
    <row r="236" spans="1:16" x14ac:dyDescent="0.3">
      <c r="A236" t="s">
        <v>65</v>
      </c>
      <c r="B236" t="s">
        <v>22</v>
      </c>
      <c r="C236" t="s">
        <v>22</v>
      </c>
      <c r="D236" t="s">
        <v>11</v>
      </c>
      <c r="E236" t="s">
        <v>79</v>
      </c>
      <c r="F236" t="s">
        <v>9</v>
      </c>
      <c r="G236" s="15">
        <v>33.57</v>
      </c>
      <c r="H236" t="s">
        <v>25</v>
      </c>
      <c r="I236">
        <v>1</v>
      </c>
      <c r="J236" t="s">
        <v>47</v>
      </c>
      <c r="K236" t="s">
        <v>45</v>
      </c>
      <c r="L236" t="s">
        <v>45</v>
      </c>
      <c r="M236" t="s">
        <v>68</v>
      </c>
      <c r="N236" s="15">
        <v>33.39</v>
      </c>
      <c r="O236" s="16">
        <v>0.5</v>
      </c>
      <c r="P236">
        <v>0</v>
      </c>
    </row>
    <row r="237" spans="1:16" x14ac:dyDescent="0.3">
      <c r="A237" t="s">
        <v>65</v>
      </c>
      <c r="B237" t="s">
        <v>22</v>
      </c>
      <c r="C237" t="s">
        <v>22</v>
      </c>
      <c r="D237" t="s">
        <v>11</v>
      </c>
      <c r="E237" t="s">
        <v>79</v>
      </c>
      <c r="F237" t="s">
        <v>9</v>
      </c>
      <c r="G237" s="15">
        <v>37.28</v>
      </c>
      <c r="H237" t="s">
        <v>26</v>
      </c>
      <c r="I237">
        <v>2</v>
      </c>
      <c r="J237" t="s">
        <v>47</v>
      </c>
      <c r="K237" t="s">
        <v>45</v>
      </c>
      <c r="L237" t="s">
        <v>45</v>
      </c>
      <c r="M237" t="s">
        <v>64</v>
      </c>
      <c r="N237" s="15">
        <v>33.39</v>
      </c>
      <c r="O237" s="16">
        <v>11.7</v>
      </c>
      <c r="P237">
        <v>0</v>
      </c>
    </row>
    <row r="238" spans="1:16" x14ac:dyDescent="0.3">
      <c r="A238" t="s">
        <v>57</v>
      </c>
      <c r="B238" t="s">
        <v>21</v>
      </c>
      <c r="C238" t="s">
        <v>62</v>
      </c>
      <c r="D238" t="s">
        <v>8</v>
      </c>
      <c r="E238" t="s">
        <v>73</v>
      </c>
      <c r="F238" t="s">
        <v>9</v>
      </c>
      <c r="G238" s="15">
        <v>115.71</v>
      </c>
      <c r="H238" t="s">
        <v>27</v>
      </c>
      <c r="I238">
        <v>3</v>
      </c>
      <c r="J238" t="s">
        <v>47</v>
      </c>
      <c r="K238" t="s">
        <v>45</v>
      </c>
      <c r="L238" t="s">
        <v>45</v>
      </c>
      <c r="M238" t="s">
        <v>72</v>
      </c>
      <c r="N238" s="15">
        <v>86.06</v>
      </c>
      <c r="O238" s="16">
        <v>34.5</v>
      </c>
      <c r="P238">
        <v>1</v>
      </c>
    </row>
    <row r="239" spans="1:16" x14ac:dyDescent="0.3">
      <c r="A239" t="s">
        <v>65</v>
      </c>
      <c r="B239" t="s">
        <v>21</v>
      </c>
      <c r="C239" t="s">
        <v>62</v>
      </c>
      <c r="D239" t="s">
        <v>14</v>
      </c>
      <c r="E239" t="s">
        <v>71</v>
      </c>
      <c r="F239" t="s">
        <v>9</v>
      </c>
      <c r="G239" s="15">
        <v>64.27</v>
      </c>
      <c r="H239" t="s">
        <v>25</v>
      </c>
      <c r="I239">
        <v>1</v>
      </c>
      <c r="J239" t="s">
        <v>48</v>
      </c>
      <c r="K239" t="s">
        <v>46</v>
      </c>
      <c r="L239" t="s">
        <v>45</v>
      </c>
      <c r="M239" t="s">
        <v>61</v>
      </c>
      <c r="N239" s="15">
        <v>71.77</v>
      </c>
      <c r="O239" s="16">
        <v>-10.5</v>
      </c>
      <c r="P239">
        <v>0</v>
      </c>
    </row>
    <row r="240" spans="1:16" x14ac:dyDescent="0.3">
      <c r="A240" t="s">
        <v>60</v>
      </c>
      <c r="B240" t="s">
        <v>19</v>
      </c>
      <c r="C240" t="s">
        <v>19</v>
      </c>
      <c r="D240" t="s">
        <v>10</v>
      </c>
      <c r="E240" t="s">
        <v>58</v>
      </c>
      <c r="F240" t="s">
        <v>9</v>
      </c>
      <c r="G240" s="15">
        <v>133.36000000000001</v>
      </c>
      <c r="H240" t="s">
        <v>26</v>
      </c>
      <c r="I240">
        <v>2</v>
      </c>
      <c r="J240" t="s">
        <v>48</v>
      </c>
      <c r="K240" t="s">
        <v>46</v>
      </c>
      <c r="L240" t="s">
        <v>45</v>
      </c>
      <c r="M240" t="s">
        <v>67</v>
      </c>
      <c r="N240" s="15">
        <v>152.03</v>
      </c>
      <c r="O240" s="16">
        <v>-12.3</v>
      </c>
      <c r="P240">
        <v>0</v>
      </c>
    </row>
    <row r="241" spans="1:16" x14ac:dyDescent="0.3">
      <c r="A241" t="s">
        <v>65</v>
      </c>
      <c r="B241" t="s">
        <v>20</v>
      </c>
      <c r="C241" t="s">
        <v>20</v>
      </c>
      <c r="D241" t="s">
        <v>15</v>
      </c>
      <c r="E241" t="s">
        <v>76</v>
      </c>
      <c r="F241" t="s">
        <v>9</v>
      </c>
      <c r="G241" s="15">
        <v>127.57</v>
      </c>
      <c r="H241" t="s">
        <v>27</v>
      </c>
      <c r="I241">
        <v>3</v>
      </c>
      <c r="J241" t="s">
        <v>47</v>
      </c>
      <c r="K241" t="s">
        <v>46</v>
      </c>
      <c r="L241" t="s">
        <v>45</v>
      </c>
      <c r="M241" t="s">
        <v>61</v>
      </c>
      <c r="N241" s="15">
        <v>126.51</v>
      </c>
      <c r="O241" s="16">
        <v>0.8</v>
      </c>
      <c r="P241">
        <v>0</v>
      </c>
    </row>
    <row r="242" spans="1:16" x14ac:dyDescent="0.3">
      <c r="A242" t="s">
        <v>60</v>
      </c>
      <c r="B242" t="s">
        <v>22</v>
      </c>
      <c r="C242" t="s">
        <v>22</v>
      </c>
      <c r="D242" t="s">
        <v>8</v>
      </c>
      <c r="E242" t="s">
        <v>73</v>
      </c>
      <c r="F242" t="s">
        <v>9</v>
      </c>
      <c r="G242" s="15">
        <v>108.98</v>
      </c>
      <c r="H242" t="s">
        <v>26</v>
      </c>
      <c r="I242">
        <v>2</v>
      </c>
      <c r="J242" t="s">
        <v>44</v>
      </c>
      <c r="K242" t="s">
        <v>46</v>
      </c>
      <c r="L242" t="s">
        <v>45</v>
      </c>
      <c r="M242" t="s">
        <v>67</v>
      </c>
      <c r="N242" s="15">
        <v>82.04</v>
      </c>
      <c r="O242" s="16">
        <v>32.799999999999997</v>
      </c>
      <c r="P242">
        <v>1</v>
      </c>
    </row>
    <row r="243" spans="1:16" x14ac:dyDescent="0.3">
      <c r="A243" t="s">
        <v>65</v>
      </c>
      <c r="B243" t="s">
        <v>18</v>
      </c>
      <c r="C243" t="s">
        <v>18</v>
      </c>
      <c r="D243" t="s">
        <v>8</v>
      </c>
      <c r="E243" t="s">
        <v>74</v>
      </c>
      <c r="F243" t="s">
        <v>9</v>
      </c>
      <c r="G243" s="15">
        <v>80.239999999999995</v>
      </c>
      <c r="H243" t="s">
        <v>27</v>
      </c>
      <c r="I243">
        <v>3</v>
      </c>
      <c r="J243" t="s">
        <v>48</v>
      </c>
      <c r="K243" t="s">
        <v>45</v>
      </c>
      <c r="L243" t="s">
        <v>45</v>
      </c>
      <c r="M243" t="s">
        <v>72</v>
      </c>
      <c r="N243" s="15">
        <v>91.13</v>
      </c>
      <c r="O243" s="16">
        <v>-11.9</v>
      </c>
      <c r="P243">
        <v>0</v>
      </c>
    </row>
    <row r="244" spans="1:16" x14ac:dyDescent="0.3">
      <c r="A244" t="s">
        <v>65</v>
      </c>
      <c r="B244" t="s">
        <v>21</v>
      </c>
      <c r="C244" t="s">
        <v>62</v>
      </c>
      <c r="D244" t="s">
        <v>14</v>
      </c>
      <c r="E244" t="s">
        <v>77</v>
      </c>
      <c r="F244" t="s">
        <v>9</v>
      </c>
      <c r="G244" s="15">
        <v>68.77</v>
      </c>
      <c r="H244" t="s">
        <v>25</v>
      </c>
      <c r="I244">
        <v>1</v>
      </c>
      <c r="J244" t="s">
        <v>44</v>
      </c>
      <c r="K244" t="s">
        <v>46</v>
      </c>
      <c r="L244" t="s">
        <v>45</v>
      </c>
      <c r="M244" t="s">
        <v>67</v>
      </c>
      <c r="N244" s="15">
        <v>70.66</v>
      </c>
      <c r="O244" s="16">
        <v>-2.7</v>
      </c>
      <c r="P244">
        <v>0</v>
      </c>
    </row>
    <row r="245" spans="1:16" x14ac:dyDescent="0.3">
      <c r="A245" t="s">
        <v>65</v>
      </c>
      <c r="B245" t="s">
        <v>19</v>
      </c>
      <c r="C245" t="s">
        <v>19</v>
      </c>
      <c r="D245" t="s">
        <v>14</v>
      </c>
      <c r="E245" t="s">
        <v>71</v>
      </c>
      <c r="F245" t="s">
        <v>9</v>
      </c>
      <c r="G245" s="15">
        <v>69.83</v>
      </c>
      <c r="H245" t="s">
        <v>26</v>
      </c>
      <c r="I245">
        <v>2</v>
      </c>
      <c r="J245" t="s">
        <v>47</v>
      </c>
      <c r="K245" t="s">
        <v>45</v>
      </c>
      <c r="L245" t="s">
        <v>45</v>
      </c>
      <c r="M245" t="s">
        <v>67</v>
      </c>
      <c r="N245" s="15">
        <v>71.77</v>
      </c>
      <c r="O245" s="16">
        <v>-2.7</v>
      </c>
      <c r="P245">
        <v>0</v>
      </c>
    </row>
    <row r="246" spans="1:16" x14ac:dyDescent="0.3">
      <c r="A246" t="s">
        <v>57</v>
      </c>
      <c r="B246" t="s">
        <v>21</v>
      </c>
      <c r="C246" t="s">
        <v>62</v>
      </c>
      <c r="D246" t="s">
        <v>14</v>
      </c>
      <c r="E246" t="s">
        <v>63</v>
      </c>
      <c r="F246" t="s">
        <v>9</v>
      </c>
      <c r="G246" s="15">
        <v>65.16</v>
      </c>
      <c r="H246" t="s">
        <v>26</v>
      </c>
      <c r="I246">
        <v>2</v>
      </c>
      <c r="J246" t="s">
        <v>48</v>
      </c>
      <c r="K246" t="s">
        <v>46</v>
      </c>
      <c r="L246" t="s">
        <v>46</v>
      </c>
      <c r="M246" t="s">
        <v>61</v>
      </c>
      <c r="N246" s="15">
        <v>65.16</v>
      </c>
      <c r="O246" s="16">
        <v>0</v>
      </c>
      <c r="P246">
        <v>0</v>
      </c>
    </row>
    <row r="247" spans="1:16" x14ac:dyDescent="0.3">
      <c r="A247" t="s">
        <v>65</v>
      </c>
      <c r="B247" t="s">
        <v>21</v>
      </c>
      <c r="C247" t="s">
        <v>62</v>
      </c>
      <c r="D247" t="s">
        <v>10</v>
      </c>
      <c r="E247" t="s">
        <v>69</v>
      </c>
      <c r="F247" t="s">
        <v>9</v>
      </c>
      <c r="G247" s="15">
        <v>146.53</v>
      </c>
      <c r="H247" t="s">
        <v>25</v>
      </c>
      <c r="I247">
        <v>1</v>
      </c>
      <c r="J247" t="s">
        <v>47</v>
      </c>
      <c r="K247" t="s">
        <v>46</v>
      </c>
      <c r="L247" t="s">
        <v>45</v>
      </c>
      <c r="M247" t="s">
        <v>67</v>
      </c>
      <c r="N247" s="15">
        <v>158.91999999999999</v>
      </c>
      <c r="O247" s="16">
        <v>-7.8</v>
      </c>
      <c r="P247">
        <v>0</v>
      </c>
    </row>
    <row r="248" spans="1:16" x14ac:dyDescent="0.3">
      <c r="A248" t="s">
        <v>65</v>
      </c>
      <c r="B248" t="s">
        <v>20</v>
      </c>
      <c r="C248" t="s">
        <v>20</v>
      </c>
      <c r="D248" t="s">
        <v>12</v>
      </c>
      <c r="E248" t="s">
        <v>66</v>
      </c>
      <c r="F248" t="s">
        <v>13</v>
      </c>
      <c r="G248" s="15">
        <v>142.08000000000001</v>
      </c>
      <c r="H248" t="s">
        <v>26</v>
      </c>
      <c r="I248">
        <v>2</v>
      </c>
      <c r="J248" t="s">
        <v>48</v>
      </c>
      <c r="K248" t="s">
        <v>45</v>
      </c>
      <c r="L248" t="s">
        <v>45</v>
      </c>
      <c r="M248" t="s">
        <v>61</v>
      </c>
      <c r="N248" s="15">
        <v>178.49</v>
      </c>
      <c r="O248" s="16">
        <v>-20.399999999999999</v>
      </c>
      <c r="P248">
        <v>0</v>
      </c>
    </row>
    <row r="249" spans="1:16" x14ac:dyDescent="0.3">
      <c r="A249" t="s">
        <v>57</v>
      </c>
      <c r="B249" t="s">
        <v>21</v>
      </c>
      <c r="C249" t="s">
        <v>62</v>
      </c>
      <c r="D249" t="s">
        <v>8</v>
      </c>
      <c r="E249" t="s">
        <v>74</v>
      </c>
      <c r="F249" t="s">
        <v>9</v>
      </c>
      <c r="G249" s="15">
        <v>85.34</v>
      </c>
      <c r="H249" t="s">
        <v>27</v>
      </c>
      <c r="I249">
        <v>3</v>
      </c>
      <c r="J249" t="s">
        <v>48</v>
      </c>
      <c r="K249" t="s">
        <v>45</v>
      </c>
      <c r="L249" t="s">
        <v>45</v>
      </c>
      <c r="M249" t="s">
        <v>72</v>
      </c>
      <c r="N249" s="15">
        <v>83.41</v>
      </c>
      <c r="O249" s="16">
        <v>2.2999999999999998</v>
      </c>
      <c r="P249">
        <v>0</v>
      </c>
    </row>
    <row r="250" spans="1:16" x14ac:dyDescent="0.3">
      <c r="A250" t="s">
        <v>65</v>
      </c>
      <c r="B250" t="s">
        <v>17</v>
      </c>
      <c r="C250" t="s">
        <v>17</v>
      </c>
      <c r="D250" t="s">
        <v>14</v>
      </c>
      <c r="E250" t="s">
        <v>71</v>
      </c>
      <c r="F250" t="s">
        <v>9</v>
      </c>
      <c r="G250" s="15">
        <v>69.03</v>
      </c>
      <c r="H250" t="s">
        <v>26</v>
      </c>
      <c r="I250">
        <v>2</v>
      </c>
      <c r="J250" t="s">
        <v>48</v>
      </c>
      <c r="K250" t="s">
        <v>45</v>
      </c>
      <c r="L250" t="s">
        <v>45</v>
      </c>
      <c r="M250" t="s">
        <v>59</v>
      </c>
      <c r="N250" s="15">
        <v>71.77</v>
      </c>
      <c r="O250" s="16">
        <v>-3.8</v>
      </c>
      <c r="P250">
        <v>0</v>
      </c>
    </row>
    <row r="251" spans="1:16" x14ac:dyDescent="0.3">
      <c r="A251" t="s">
        <v>65</v>
      </c>
      <c r="B251" t="s">
        <v>21</v>
      </c>
      <c r="C251" t="s">
        <v>62</v>
      </c>
      <c r="D251" t="s">
        <v>11</v>
      </c>
      <c r="E251" t="s">
        <v>79</v>
      </c>
      <c r="F251" t="s">
        <v>9</v>
      </c>
      <c r="G251" s="15">
        <v>31.62</v>
      </c>
      <c r="H251" t="s">
        <v>26</v>
      </c>
      <c r="I251">
        <v>2</v>
      </c>
      <c r="J251" t="s">
        <v>47</v>
      </c>
      <c r="K251" t="s">
        <v>46</v>
      </c>
      <c r="L251" t="s">
        <v>45</v>
      </c>
      <c r="M251" t="s">
        <v>72</v>
      </c>
      <c r="N251" s="15">
        <v>33.39</v>
      </c>
      <c r="O251" s="16">
        <v>-5.3</v>
      </c>
      <c r="P251">
        <v>0</v>
      </c>
    </row>
    <row r="252" spans="1:16" x14ac:dyDescent="0.3">
      <c r="A252" t="s">
        <v>57</v>
      </c>
      <c r="B252" t="s">
        <v>21</v>
      </c>
      <c r="C252" t="s">
        <v>62</v>
      </c>
      <c r="D252" t="s">
        <v>12</v>
      </c>
      <c r="E252" t="s">
        <v>80</v>
      </c>
      <c r="F252" t="s">
        <v>13</v>
      </c>
      <c r="G252" s="15">
        <v>164.62</v>
      </c>
      <c r="H252" t="s">
        <v>26</v>
      </c>
      <c r="I252">
        <v>2</v>
      </c>
      <c r="J252" t="s">
        <v>48</v>
      </c>
      <c r="K252" t="s">
        <v>45</v>
      </c>
      <c r="L252" t="s">
        <v>45</v>
      </c>
      <c r="M252" t="s">
        <v>68</v>
      </c>
      <c r="N252" s="15">
        <v>162.72999999999999</v>
      </c>
      <c r="O252" s="16">
        <v>1.2</v>
      </c>
      <c r="P252">
        <v>0</v>
      </c>
    </row>
    <row r="253" spans="1:16" x14ac:dyDescent="0.3">
      <c r="A253" t="s">
        <v>57</v>
      </c>
      <c r="B253" t="s">
        <v>20</v>
      </c>
      <c r="C253" t="s">
        <v>20</v>
      </c>
      <c r="D253" t="s">
        <v>8</v>
      </c>
      <c r="E253" t="s">
        <v>73</v>
      </c>
      <c r="F253" t="s">
        <v>9</v>
      </c>
      <c r="G253" s="15">
        <v>70.819999999999993</v>
      </c>
      <c r="H253" t="s">
        <v>26</v>
      </c>
      <c r="I253">
        <v>2</v>
      </c>
      <c r="J253" t="s">
        <v>48</v>
      </c>
      <c r="K253" t="s">
        <v>46</v>
      </c>
      <c r="L253" t="s">
        <v>45</v>
      </c>
      <c r="M253" t="s">
        <v>67</v>
      </c>
      <c r="N253" s="15">
        <v>86.06</v>
      </c>
      <c r="O253" s="16">
        <v>-17.7</v>
      </c>
      <c r="P253">
        <v>0</v>
      </c>
    </row>
    <row r="254" spans="1:16" x14ac:dyDescent="0.3">
      <c r="A254" t="s">
        <v>60</v>
      </c>
      <c r="B254" t="s">
        <v>21</v>
      </c>
      <c r="C254" t="s">
        <v>62</v>
      </c>
      <c r="D254" t="s">
        <v>11</v>
      </c>
      <c r="E254" t="s">
        <v>79</v>
      </c>
      <c r="F254" t="s">
        <v>9</v>
      </c>
      <c r="G254" s="15">
        <v>32.130000000000003</v>
      </c>
      <c r="H254" t="s">
        <v>26</v>
      </c>
      <c r="I254">
        <v>2</v>
      </c>
      <c r="J254" t="s">
        <v>47</v>
      </c>
      <c r="K254" t="s">
        <v>45</v>
      </c>
      <c r="L254" t="s">
        <v>45</v>
      </c>
      <c r="M254" t="s">
        <v>67</v>
      </c>
      <c r="N254" s="15">
        <v>29.14</v>
      </c>
      <c r="O254" s="16">
        <v>10.199999999999999</v>
      </c>
      <c r="P254">
        <v>0</v>
      </c>
    </row>
    <row r="255" spans="1:16" x14ac:dyDescent="0.3">
      <c r="A255" t="s">
        <v>60</v>
      </c>
      <c r="B255" t="s">
        <v>19</v>
      </c>
      <c r="C255" t="s">
        <v>19</v>
      </c>
      <c r="D255" t="s">
        <v>10</v>
      </c>
      <c r="E255" t="s">
        <v>69</v>
      </c>
      <c r="F255" t="s">
        <v>9</v>
      </c>
      <c r="G255" s="15">
        <v>171.84</v>
      </c>
      <c r="H255" t="s">
        <v>26</v>
      </c>
      <c r="I255">
        <v>2</v>
      </c>
      <c r="J255" t="s">
        <v>48</v>
      </c>
      <c r="K255" t="s">
        <v>45</v>
      </c>
      <c r="L255" t="s">
        <v>45</v>
      </c>
      <c r="M255" t="s">
        <v>68</v>
      </c>
      <c r="N255" s="15">
        <v>158.6</v>
      </c>
      <c r="O255" s="16">
        <v>8.3000000000000007</v>
      </c>
      <c r="P255">
        <v>0</v>
      </c>
    </row>
    <row r="256" spans="1:16" x14ac:dyDescent="0.3">
      <c r="A256" t="s">
        <v>57</v>
      </c>
      <c r="B256" t="s">
        <v>21</v>
      </c>
      <c r="C256" t="s">
        <v>62</v>
      </c>
      <c r="D256" t="s">
        <v>8</v>
      </c>
      <c r="E256" t="s">
        <v>73</v>
      </c>
      <c r="F256" t="s">
        <v>9</v>
      </c>
      <c r="G256" s="15">
        <v>97.43</v>
      </c>
      <c r="H256" t="s">
        <v>26</v>
      </c>
      <c r="I256">
        <v>2</v>
      </c>
      <c r="J256" t="s">
        <v>48</v>
      </c>
      <c r="K256" t="s">
        <v>45</v>
      </c>
      <c r="L256" t="s">
        <v>45</v>
      </c>
      <c r="M256" t="s">
        <v>59</v>
      </c>
      <c r="N256" s="15">
        <v>86.06</v>
      </c>
      <c r="O256" s="16">
        <v>13.2</v>
      </c>
      <c r="P256">
        <v>0</v>
      </c>
    </row>
    <row r="257" spans="1:16" x14ac:dyDescent="0.3">
      <c r="A257" t="s">
        <v>60</v>
      </c>
      <c r="B257" t="s">
        <v>17</v>
      </c>
      <c r="C257" t="s">
        <v>17</v>
      </c>
      <c r="D257" t="s">
        <v>10</v>
      </c>
      <c r="E257" t="s">
        <v>58</v>
      </c>
      <c r="F257" t="s">
        <v>9</v>
      </c>
      <c r="G257" s="15">
        <v>125.68</v>
      </c>
      <c r="H257" t="s">
        <v>26</v>
      </c>
      <c r="I257">
        <v>2</v>
      </c>
      <c r="J257" t="s">
        <v>48</v>
      </c>
      <c r="K257" t="s">
        <v>46</v>
      </c>
      <c r="L257" t="s">
        <v>45</v>
      </c>
      <c r="M257" t="s">
        <v>68</v>
      </c>
      <c r="N257" s="15">
        <v>152.03</v>
      </c>
      <c r="O257" s="16">
        <v>-17.3</v>
      </c>
      <c r="P257">
        <v>0</v>
      </c>
    </row>
    <row r="258" spans="1:16" x14ac:dyDescent="0.3">
      <c r="A258" t="s">
        <v>57</v>
      </c>
      <c r="B258" t="s">
        <v>21</v>
      </c>
      <c r="C258" t="s">
        <v>62</v>
      </c>
      <c r="D258" t="s">
        <v>12</v>
      </c>
      <c r="E258" t="s">
        <v>80</v>
      </c>
      <c r="F258" t="s">
        <v>13</v>
      </c>
      <c r="G258" s="15">
        <v>154.99</v>
      </c>
      <c r="H258" t="s">
        <v>26</v>
      </c>
      <c r="I258">
        <v>2</v>
      </c>
      <c r="J258" t="s">
        <v>48</v>
      </c>
      <c r="K258" t="s">
        <v>45</v>
      </c>
      <c r="L258" t="s">
        <v>45</v>
      </c>
      <c r="M258" t="s">
        <v>68</v>
      </c>
      <c r="N258" s="15">
        <v>162.72999999999999</v>
      </c>
      <c r="O258" s="16">
        <v>-4.8</v>
      </c>
      <c r="P258">
        <v>0</v>
      </c>
    </row>
    <row r="259" spans="1:16" x14ac:dyDescent="0.3">
      <c r="A259" t="s">
        <v>65</v>
      </c>
      <c r="B259" t="s">
        <v>21</v>
      </c>
      <c r="C259" t="s">
        <v>62</v>
      </c>
      <c r="D259" t="s">
        <v>14</v>
      </c>
      <c r="E259" t="s">
        <v>77</v>
      </c>
      <c r="F259" t="s">
        <v>9</v>
      </c>
      <c r="G259" s="15">
        <v>80</v>
      </c>
      <c r="H259" t="s">
        <v>26</v>
      </c>
      <c r="I259">
        <v>2</v>
      </c>
      <c r="J259" t="s">
        <v>44</v>
      </c>
      <c r="K259" t="s">
        <v>46</v>
      </c>
      <c r="L259" t="s">
        <v>46</v>
      </c>
      <c r="M259" t="s">
        <v>64</v>
      </c>
      <c r="N259" s="15">
        <v>70.66</v>
      </c>
      <c r="O259" s="16">
        <v>13.2</v>
      </c>
      <c r="P259">
        <v>0</v>
      </c>
    </row>
    <row r="260" spans="1:16" x14ac:dyDescent="0.3">
      <c r="A260" t="s">
        <v>60</v>
      </c>
      <c r="B260" t="s">
        <v>17</v>
      </c>
      <c r="C260" t="s">
        <v>17</v>
      </c>
      <c r="D260" t="s">
        <v>11</v>
      </c>
      <c r="E260" t="s">
        <v>70</v>
      </c>
      <c r="F260" t="s">
        <v>9</v>
      </c>
      <c r="G260" s="15">
        <v>30.96</v>
      </c>
      <c r="H260" t="s">
        <v>27</v>
      </c>
      <c r="I260">
        <v>3</v>
      </c>
      <c r="J260" t="s">
        <v>47</v>
      </c>
      <c r="K260" t="s">
        <v>45</v>
      </c>
      <c r="L260" t="s">
        <v>45</v>
      </c>
      <c r="M260" t="s">
        <v>64</v>
      </c>
      <c r="N260" s="15">
        <v>31.4</v>
      </c>
      <c r="O260" s="16">
        <v>-1.4</v>
      </c>
      <c r="P260">
        <v>0</v>
      </c>
    </row>
    <row r="261" spans="1:16" x14ac:dyDescent="0.3">
      <c r="A261" t="s">
        <v>65</v>
      </c>
      <c r="B261" t="s">
        <v>19</v>
      </c>
      <c r="C261" t="s">
        <v>19</v>
      </c>
      <c r="D261" t="s">
        <v>15</v>
      </c>
      <c r="E261" t="s">
        <v>75</v>
      </c>
      <c r="F261" t="s">
        <v>9</v>
      </c>
      <c r="G261" s="15">
        <v>125.17</v>
      </c>
      <c r="H261" t="s">
        <v>26</v>
      </c>
      <c r="I261">
        <v>2</v>
      </c>
      <c r="J261" t="s">
        <v>47</v>
      </c>
      <c r="K261" t="s">
        <v>45</v>
      </c>
      <c r="L261" t="s">
        <v>45</v>
      </c>
      <c r="M261" t="s">
        <v>59</v>
      </c>
      <c r="N261" s="15">
        <v>126.9</v>
      </c>
      <c r="O261" s="16">
        <v>-1.4</v>
      </c>
      <c r="P261">
        <v>0</v>
      </c>
    </row>
    <row r="262" spans="1:16" x14ac:dyDescent="0.3">
      <c r="A262" t="s">
        <v>57</v>
      </c>
      <c r="B262" t="s">
        <v>17</v>
      </c>
      <c r="C262" t="s">
        <v>17</v>
      </c>
      <c r="D262" t="s">
        <v>12</v>
      </c>
      <c r="E262" t="s">
        <v>66</v>
      </c>
      <c r="F262" t="s">
        <v>13</v>
      </c>
      <c r="G262" s="15">
        <v>174.13</v>
      </c>
      <c r="H262" t="s">
        <v>27</v>
      </c>
      <c r="I262">
        <v>3</v>
      </c>
      <c r="J262" t="s">
        <v>48</v>
      </c>
      <c r="K262" t="s">
        <v>45</v>
      </c>
      <c r="L262" t="s">
        <v>46</v>
      </c>
      <c r="M262" t="s">
        <v>67</v>
      </c>
      <c r="N262" s="15">
        <v>170.56</v>
      </c>
      <c r="O262" s="16">
        <v>2.1</v>
      </c>
      <c r="P262">
        <v>0</v>
      </c>
    </row>
    <row r="263" spans="1:16" x14ac:dyDescent="0.3">
      <c r="A263" t="s">
        <v>60</v>
      </c>
      <c r="B263" t="s">
        <v>19</v>
      </c>
      <c r="C263" t="s">
        <v>19</v>
      </c>
      <c r="D263" t="s">
        <v>14</v>
      </c>
      <c r="E263" t="s">
        <v>77</v>
      </c>
      <c r="F263" t="s">
        <v>9</v>
      </c>
      <c r="G263" s="15">
        <v>64.69</v>
      </c>
      <c r="H263" t="s">
        <v>27</v>
      </c>
      <c r="I263">
        <v>3</v>
      </c>
      <c r="J263" t="s">
        <v>48</v>
      </c>
      <c r="K263" t="s">
        <v>45</v>
      </c>
      <c r="L263" t="s">
        <v>45</v>
      </c>
      <c r="M263" t="s">
        <v>59</v>
      </c>
      <c r="N263" s="15">
        <v>67.13</v>
      </c>
      <c r="O263" s="16">
        <v>-3.6</v>
      </c>
      <c r="P263">
        <v>0</v>
      </c>
    </row>
    <row r="264" spans="1:16" x14ac:dyDescent="0.3">
      <c r="A264" t="s">
        <v>65</v>
      </c>
      <c r="B264" t="s">
        <v>22</v>
      </c>
      <c r="C264" t="s">
        <v>22</v>
      </c>
      <c r="D264" t="s">
        <v>14</v>
      </c>
      <c r="E264" t="s">
        <v>77</v>
      </c>
      <c r="F264" t="s">
        <v>9</v>
      </c>
      <c r="G264" s="15">
        <v>61</v>
      </c>
      <c r="H264" t="s">
        <v>27</v>
      </c>
      <c r="I264">
        <v>3</v>
      </c>
      <c r="J264" t="s">
        <v>48</v>
      </c>
      <c r="K264" t="s">
        <v>46</v>
      </c>
      <c r="L264" t="s">
        <v>45</v>
      </c>
      <c r="M264" t="s">
        <v>68</v>
      </c>
      <c r="N264" s="15">
        <v>70.66</v>
      </c>
      <c r="O264" s="16">
        <v>-13.7</v>
      </c>
      <c r="P264">
        <v>0</v>
      </c>
    </row>
    <row r="265" spans="1:16" x14ac:dyDescent="0.3">
      <c r="A265" t="s">
        <v>65</v>
      </c>
      <c r="B265" t="s">
        <v>20</v>
      </c>
      <c r="C265" t="s">
        <v>20</v>
      </c>
      <c r="D265" t="s">
        <v>15</v>
      </c>
      <c r="E265" t="s">
        <v>75</v>
      </c>
      <c r="F265" t="s">
        <v>9</v>
      </c>
      <c r="G265" s="15">
        <v>140</v>
      </c>
      <c r="H265" t="s">
        <v>26</v>
      </c>
      <c r="I265">
        <v>2</v>
      </c>
      <c r="J265" t="s">
        <v>44</v>
      </c>
      <c r="K265" t="s">
        <v>45</v>
      </c>
      <c r="L265" t="s">
        <v>46</v>
      </c>
      <c r="M265" t="s">
        <v>67</v>
      </c>
      <c r="N265" s="15">
        <v>126.9</v>
      </c>
      <c r="O265" s="16">
        <v>10.3</v>
      </c>
      <c r="P265">
        <v>0</v>
      </c>
    </row>
    <row r="266" spans="1:16" x14ac:dyDescent="0.3">
      <c r="A266" t="s">
        <v>60</v>
      </c>
      <c r="B266" t="s">
        <v>22</v>
      </c>
      <c r="C266" t="s">
        <v>22</v>
      </c>
      <c r="D266" t="s">
        <v>14</v>
      </c>
      <c r="E266" t="s">
        <v>63</v>
      </c>
      <c r="F266" t="s">
        <v>9</v>
      </c>
      <c r="G266" s="15">
        <v>66.459999999999994</v>
      </c>
      <c r="H266" t="s">
        <v>26</v>
      </c>
      <c r="I266">
        <v>2</v>
      </c>
      <c r="J266" t="s">
        <v>48</v>
      </c>
      <c r="K266" t="s">
        <v>45</v>
      </c>
      <c r="L266" t="s">
        <v>45</v>
      </c>
      <c r="M266" t="s">
        <v>67</v>
      </c>
      <c r="N266" s="15">
        <v>66.680000000000007</v>
      </c>
      <c r="O266" s="16">
        <v>-0.3</v>
      </c>
      <c r="P266">
        <v>0</v>
      </c>
    </row>
    <row r="267" spans="1:16" x14ac:dyDescent="0.3">
      <c r="A267" t="s">
        <v>65</v>
      </c>
      <c r="B267" t="s">
        <v>18</v>
      </c>
      <c r="C267" t="s">
        <v>18</v>
      </c>
      <c r="D267" t="s">
        <v>10</v>
      </c>
      <c r="E267" t="s">
        <v>69</v>
      </c>
      <c r="F267" t="s">
        <v>9</v>
      </c>
      <c r="G267" s="15">
        <v>144.97999999999999</v>
      </c>
      <c r="H267" t="s">
        <v>27</v>
      </c>
      <c r="I267">
        <v>3</v>
      </c>
      <c r="J267" t="s">
        <v>47</v>
      </c>
      <c r="K267" t="s">
        <v>45</v>
      </c>
      <c r="L267" t="s">
        <v>45</v>
      </c>
      <c r="M267" t="s">
        <v>67</v>
      </c>
      <c r="N267" s="15">
        <v>158.91999999999999</v>
      </c>
      <c r="O267" s="16">
        <v>-8.8000000000000007</v>
      </c>
      <c r="P267">
        <v>0</v>
      </c>
    </row>
    <row r="268" spans="1:16" x14ac:dyDescent="0.3">
      <c r="A268" t="s">
        <v>57</v>
      </c>
      <c r="B268" t="s">
        <v>17</v>
      </c>
      <c r="C268" t="s">
        <v>17</v>
      </c>
      <c r="D268" t="s">
        <v>10</v>
      </c>
      <c r="E268" t="s">
        <v>58</v>
      </c>
      <c r="F268" t="s">
        <v>9</v>
      </c>
      <c r="G268" s="15">
        <v>189.43</v>
      </c>
      <c r="H268" t="s">
        <v>26</v>
      </c>
      <c r="I268">
        <v>2</v>
      </c>
      <c r="J268" t="s">
        <v>47</v>
      </c>
      <c r="K268" t="s">
        <v>45</v>
      </c>
      <c r="L268" t="s">
        <v>45</v>
      </c>
      <c r="M268" t="s">
        <v>72</v>
      </c>
      <c r="N268" s="15">
        <v>151.19</v>
      </c>
      <c r="O268" s="16">
        <v>25.3</v>
      </c>
      <c r="P268">
        <v>1</v>
      </c>
    </row>
    <row r="269" spans="1:16" x14ac:dyDescent="0.3">
      <c r="A269" t="s">
        <v>60</v>
      </c>
      <c r="B269" t="s">
        <v>22</v>
      </c>
      <c r="C269" t="s">
        <v>22</v>
      </c>
      <c r="D269" t="s">
        <v>12</v>
      </c>
      <c r="E269" t="s">
        <v>80</v>
      </c>
      <c r="F269" t="s">
        <v>13</v>
      </c>
      <c r="G269" s="15">
        <v>154.49</v>
      </c>
      <c r="H269" t="s">
        <v>26</v>
      </c>
      <c r="I269">
        <v>2</v>
      </c>
      <c r="J269" t="s">
        <v>47</v>
      </c>
      <c r="K269" t="s">
        <v>45</v>
      </c>
      <c r="L269" t="s">
        <v>45</v>
      </c>
      <c r="M269" t="s">
        <v>59</v>
      </c>
      <c r="N269" s="15">
        <v>167.63</v>
      </c>
      <c r="O269" s="16">
        <v>-7.8</v>
      </c>
      <c r="P269">
        <v>0</v>
      </c>
    </row>
    <row r="270" spans="1:16" x14ac:dyDescent="0.3">
      <c r="A270" t="s">
        <v>60</v>
      </c>
      <c r="B270" t="s">
        <v>20</v>
      </c>
      <c r="C270" t="s">
        <v>20</v>
      </c>
      <c r="D270" t="s">
        <v>8</v>
      </c>
      <c r="E270" t="s">
        <v>74</v>
      </c>
      <c r="F270" t="s">
        <v>9</v>
      </c>
      <c r="G270" s="15">
        <v>99.6</v>
      </c>
      <c r="H270" t="s">
        <v>25</v>
      </c>
      <c r="I270">
        <v>1</v>
      </c>
      <c r="J270" t="s">
        <v>48</v>
      </c>
      <c r="K270" t="s">
        <v>45</v>
      </c>
      <c r="L270" t="s">
        <v>45</v>
      </c>
      <c r="M270" t="s">
        <v>78</v>
      </c>
      <c r="N270" s="15">
        <v>78.260000000000005</v>
      </c>
      <c r="O270" s="16">
        <v>27.3</v>
      </c>
      <c r="P270">
        <v>1</v>
      </c>
    </row>
    <row r="271" spans="1:16" x14ac:dyDescent="0.3">
      <c r="A271" t="s">
        <v>57</v>
      </c>
      <c r="B271" t="s">
        <v>20</v>
      </c>
      <c r="C271" t="s">
        <v>20</v>
      </c>
      <c r="D271" t="s">
        <v>12</v>
      </c>
      <c r="E271" t="s">
        <v>66</v>
      </c>
      <c r="F271" t="s">
        <v>13</v>
      </c>
      <c r="G271" s="15">
        <v>187.5</v>
      </c>
      <c r="H271" t="s">
        <v>25</v>
      </c>
      <c r="I271">
        <v>1</v>
      </c>
      <c r="J271" t="s">
        <v>48</v>
      </c>
      <c r="K271" t="s">
        <v>45</v>
      </c>
      <c r="L271" t="s">
        <v>46</v>
      </c>
      <c r="M271" t="s">
        <v>68</v>
      </c>
      <c r="N271" s="15">
        <v>170.56</v>
      </c>
      <c r="O271" s="16">
        <v>9.9</v>
      </c>
      <c r="P271">
        <v>0</v>
      </c>
    </row>
    <row r="272" spans="1:16" x14ac:dyDescent="0.3">
      <c r="A272" t="s">
        <v>65</v>
      </c>
      <c r="B272" t="s">
        <v>22</v>
      </c>
      <c r="C272" t="s">
        <v>22</v>
      </c>
      <c r="D272" t="s">
        <v>8</v>
      </c>
      <c r="E272" t="s">
        <v>74</v>
      </c>
      <c r="F272" t="s">
        <v>9</v>
      </c>
      <c r="G272" s="15">
        <v>75.92</v>
      </c>
      <c r="H272" t="s">
        <v>26</v>
      </c>
      <c r="I272">
        <v>2</v>
      </c>
      <c r="J272" t="s">
        <v>48</v>
      </c>
      <c r="K272" t="s">
        <v>45</v>
      </c>
      <c r="L272" t="s">
        <v>45</v>
      </c>
      <c r="M272" t="s">
        <v>64</v>
      </c>
      <c r="N272" s="15">
        <v>91.13</v>
      </c>
      <c r="O272" s="16">
        <v>-16.7</v>
      </c>
      <c r="P272">
        <v>0</v>
      </c>
    </row>
    <row r="273" spans="1:16" x14ac:dyDescent="0.3">
      <c r="A273" t="s">
        <v>65</v>
      </c>
      <c r="B273" t="s">
        <v>21</v>
      </c>
      <c r="C273" t="s">
        <v>62</v>
      </c>
      <c r="D273" t="s">
        <v>11</v>
      </c>
      <c r="E273" t="s">
        <v>70</v>
      </c>
      <c r="F273" t="s">
        <v>9</v>
      </c>
      <c r="G273" s="15">
        <v>32.270000000000003</v>
      </c>
      <c r="H273" t="s">
        <v>25</v>
      </c>
      <c r="I273">
        <v>1</v>
      </c>
      <c r="J273" t="s">
        <v>48</v>
      </c>
      <c r="K273" t="s">
        <v>45</v>
      </c>
      <c r="L273" t="s">
        <v>45</v>
      </c>
      <c r="M273" t="s">
        <v>59</v>
      </c>
      <c r="N273" s="15">
        <v>32.630000000000003</v>
      </c>
      <c r="O273" s="16">
        <v>-1.1000000000000001</v>
      </c>
      <c r="P273">
        <v>0</v>
      </c>
    </row>
    <row r="274" spans="1:16" x14ac:dyDescent="0.3">
      <c r="A274" t="s">
        <v>65</v>
      </c>
      <c r="B274" t="s">
        <v>21</v>
      </c>
      <c r="C274" t="s">
        <v>62</v>
      </c>
      <c r="D274" t="s">
        <v>14</v>
      </c>
      <c r="E274" t="s">
        <v>63</v>
      </c>
      <c r="F274" t="s">
        <v>9</v>
      </c>
      <c r="G274" s="15">
        <v>61.34</v>
      </c>
      <c r="H274" t="s">
        <v>25</v>
      </c>
      <c r="I274">
        <v>1</v>
      </c>
      <c r="J274" t="s">
        <v>47</v>
      </c>
      <c r="K274" t="s">
        <v>46</v>
      </c>
      <c r="L274" t="s">
        <v>45</v>
      </c>
      <c r="M274" t="s">
        <v>67</v>
      </c>
      <c r="N274" s="15">
        <v>68.150000000000006</v>
      </c>
      <c r="O274" s="16">
        <v>-10</v>
      </c>
      <c r="P274">
        <v>0</v>
      </c>
    </row>
    <row r="275" spans="1:16" x14ac:dyDescent="0.3">
      <c r="A275" t="s">
        <v>57</v>
      </c>
      <c r="B275" t="s">
        <v>21</v>
      </c>
      <c r="C275" t="s">
        <v>62</v>
      </c>
      <c r="D275" t="s">
        <v>10</v>
      </c>
      <c r="E275" t="s">
        <v>69</v>
      </c>
      <c r="F275" t="s">
        <v>9</v>
      </c>
      <c r="G275" s="15">
        <v>183.63</v>
      </c>
      <c r="H275" t="s">
        <v>25</v>
      </c>
      <c r="I275">
        <v>1</v>
      </c>
      <c r="J275" t="s">
        <v>47</v>
      </c>
      <c r="K275" t="s">
        <v>46</v>
      </c>
      <c r="L275" t="s">
        <v>45</v>
      </c>
      <c r="M275" t="s">
        <v>78</v>
      </c>
      <c r="N275" s="15">
        <v>150.38999999999999</v>
      </c>
      <c r="O275" s="16">
        <v>22.1</v>
      </c>
      <c r="P275">
        <v>1</v>
      </c>
    </row>
    <row r="276" spans="1:16" x14ac:dyDescent="0.3">
      <c r="A276" t="s">
        <v>57</v>
      </c>
      <c r="B276" t="s">
        <v>21</v>
      </c>
      <c r="C276" t="s">
        <v>62</v>
      </c>
      <c r="D276" t="s">
        <v>14</v>
      </c>
      <c r="E276" t="s">
        <v>63</v>
      </c>
      <c r="F276" t="s">
        <v>9</v>
      </c>
      <c r="G276" s="15">
        <v>55.38</v>
      </c>
      <c r="H276" t="s">
        <v>26</v>
      </c>
      <c r="I276">
        <v>2</v>
      </c>
      <c r="J276" t="s">
        <v>48</v>
      </c>
      <c r="K276" t="s">
        <v>45</v>
      </c>
      <c r="L276" t="s">
        <v>45</v>
      </c>
      <c r="M276" t="s">
        <v>61</v>
      </c>
      <c r="N276" s="15">
        <v>65.16</v>
      </c>
      <c r="O276" s="16">
        <v>-15</v>
      </c>
      <c r="P276">
        <v>0</v>
      </c>
    </row>
    <row r="277" spans="1:16" x14ac:dyDescent="0.3">
      <c r="A277" t="s">
        <v>57</v>
      </c>
      <c r="B277" t="s">
        <v>20</v>
      </c>
      <c r="C277" t="s">
        <v>20</v>
      </c>
      <c r="D277" t="s">
        <v>11</v>
      </c>
      <c r="E277" t="s">
        <v>70</v>
      </c>
      <c r="F277" t="s">
        <v>9</v>
      </c>
      <c r="G277" s="15">
        <v>27.5</v>
      </c>
      <c r="H277" t="s">
        <v>26</v>
      </c>
      <c r="I277">
        <v>2</v>
      </c>
      <c r="J277" t="s">
        <v>48</v>
      </c>
      <c r="K277" t="s">
        <v>45</v>
      </c>
      <c r="L277" t="s">
        <v>45</v>
      </c>
      <c r="M277" t="s">
        <v>78</v>
      </c>
      <c r="N277" s="15">
        <v>30.5</v>
      </c>
      <c r="O277" s="16">
        <v>-9.8000000000000007</v>
      </c>
      <c r="P277">
        <v>0</v>
      </c>
    </row>
    <row r="278" spans="1:16" x14ac:dyDescent="0.3">
      <c r="A278" t="s">
        <v>60</v>
      </c>
      <c r="B278" t="s">
        <v>19</v>
      </c>
      <c r="C278" t="s">
        <v>19</v>
      </c>
      <c r="D278" t="s">
        <v>15</v>
      </c>
      <c r="E278" t="s">
        <v>76</v>
      </c>
      <c r="F278" t="s">
        <v>9</v>
      </c>
      <c r="G278" s="15">
        <v>109.68</v>
      </c>
      <c r="H278" t="s">
        <v>27</v>
      </c>
      <c r="I278">
        <v>3</v>
      </c>
      <c r="J278" t="s">
        <v>48</v>
      </c>
      <c r="K278" t="s">
        <v>46</v>
      </c>
      <c r="L278" t="s">
        <v>46</v>
      </c>
      <c r="M278" t="s">
        <v>59</v>
      </c>
      <c r="N278" s="15">
        <v>116.32</v>
      </c>
      <c r="O278" s="16">
        <v>-5.7</v>
      </c>
      <c r="P278">
        <v>0</v>
      </c>
    </row>
    <row r="279" spans="1:16" x14ac:dyDescent="0.3">
      <c r="A279" t="s">
        <v>57</v>
      </c>
      <c r="B279" t="s">
        <v>18</v>
      </c>
      <c r="C279" t="s">
        <v>18</v>
      </c>
      <c r="D279" t="s">
        <v>11</v>
      </c>
      <c r="E279" t="s">
        <v>70</v>
      </c>
      <c r="F279" t="s">
        <v>9</v>
      </c>
      <c r="G279" s="15">
        <v>22.47</v>
      </c>
      <c r="H279" t="s">
        <v>26</v>
      </c>
      <c r="I279">
        <v>2</v>
      </c>
      <c r="J279" t="s">
        <v>48</v>
      </c>
      <c r="K279" t="s">
        <v>46</v>
      </c>
      <c r="L279" t="s">
        <v>45</v>
      </c>
      <c r="M279" t="s">
        <v>78</v>
      </c>
      <c r="N279" s="15">
        <v>30.5</v>
      </c>
      <c r="O279" s="16">
        <v>-26.3</v>
      </c>
      <c r="P279">
        <v>0</v>
      </c>
    </row>
    <row r="280" spans="1:16" x14ac:dyDescent="0.3">
      <c r="A280" t="s">
        <v>65</v>
      </c>
      <c r="B280" t="s">
        <v>21</v>
      </c>
      <c r="C280" t="s">
        <v>62</v>
      </c>
      <c r="D280" t="s">
        <v>14</v>
      </c>
      <c r="E280" t="s">
        <v>77</v>
      </c>
      <c r="F280" t="s">
        <v>9</v>
      </c>
      <c r="G280" s="15">
        <v>50.95</v>
      </c>
      <c r="H280" t="s">
        <v>27</v>
      </c>
      <c r="I280">
        <v>3</v>
      </c>
      <c r="J280" t="s">
        <v>48</v>
      </c>
      <c r="K280" t="s">
        <v>46</v>
      </c>
      <c r="L280" t="s">
        <v>45</v>
      </c>
      <c r="M280" t="s">
        <v>78</v>
      </c>
      <c r="N280" s="15">
        <v>70.66</v>
      </c>
      <c r="O280" s="16">
        <v>-27.9</v>
      </c>
      <c r="P280">
        <v>0</v>
      </c>
    </row>
    <row r="281" spans="1:16" x14ac:dyDescent="0.3">
      <c r="A281" t="s">
        <v>65</v>
      </c>
      <c r="B281" t="s">
        <v>21</v>
      </c>
      <c r="C281" t="s">
        <v>62</v>
      </c>
      <c r="D281" t="s">
        <v>11</v>
      </c>
      <c r="E281" t="s">
        <v>79</v>
      </c>
      <c r="F281" t="s">
        <v>9</v>
      </c>
      <c r="G281" s="15">
        <v>28.82</v>
      </c>
      <c r="H281" t="s">
        <v>26</v>
      </c>
      <c r="I281">
        <v>2</v>
      </c>
      <c r="J281" t="s">
        <v>47</v>
      </c>
      <c r="K281" t="s">
        <v>45</v>
      </c>
      <c r="L281" t="s">
        <v>45</v>
      </c>
      <c r="M281" t="s">
        <v>67</v>
      </c>
      <c r="N281" s="15">
        <v>33.39</v>
      </c>
      <c r="O281" s="16">
        <v>-13.7</v>
      </c>
      <c r="P281">
        <v>0</v>
      </c>
    </row>
    <row r="282" spans="1:16" x14ac:dyDescent="0.3">
      <c r="A282" t="s">
        <v>60</v>
      </c>
      <c r="B282" t="s">
        <v>21</v>
      </c>
      <c r="C282" t="s">
        <v>62</v>
      </c>
      <c r="D282" t="s">
        <v>12</v>
      </c>
      <c r="E282" t="s">
        <v>80</v>
      </c>
      <c r="F282" t="s">
        <v>13</v>
      </c>
      <c r="G282" s="15">
        <v>157.63</v>
      </c>
      <c r="H282" t="s">
        <v>26</v>
      </c>
      <c r="I282">
        <v>2</v>
      </c>
      <c r="J282" t="s">
        <v>47</v>
      </c>
      <c r="K282" t="s">
        <v>45</v>
      </c>
      <c r="L282" t="s">
        <v>45</v>
      </c>
      <c r="M282" t="s">
        <v>68</v>
      </c>
      <c r="N282" s="15">
        <v>167.63</v>
      </c>
      <c r="O282" s="16">
        <v>-6</v>
      </c>
      <c r="P282">
        <v>0</v>
      </c>
    </row>
    <row r="283" spans="1:16" x14ac:dyDescent="0.3">
      <c r="A283" t="s">
        <v>60</v>
      </c>
      <c r="B283" t="s">
        <v>18</v>
      </c>
      <c r="C283" t="s">
        <v>18</v>
      </c>
      <c r="D283" t="s">
        <v>11</v>
      </c>
      <c r="E283" t="s">
        <v>70</v>
      </c>
      <c r="F283" t="s">
        <v>9</v>
      </c>
      <c r="G283" s="15">
        <v>32.15</v>
      </c>
      <c r="H283" t="s">
        <v>27</v>
      </c>
      <c r="I283">
        <v>3</v>
      </c>
      <c r="J283" t="s">
        <v>48</v>
      </c>
      <c r="K283" t="s">
        <v>45</v>
      </c>
      <c r="L283" t="s">
        <v>45</v>
      </c>
      <c r="M283" t="s">
        <v>78</v>
      </c>
      <c r="N283" s="15">
        <v>31.4</v>
      </c>
      <c r="O283" s="16">
        <v>2.4</v>
      </c>
      <c r="P283">
        <v>0</v>
      </c>
    </row>
    <row r="284" spans="1:16" x14ac:dyDescent="0.3">
      <c r="A284" t="s">
        <v>57</v>
      </c>
      <c r="B284" t="s">
        <v>21</v>
      </c>
      <c r="C284" t="s">
        <v>62</v>
      </c>
      <c r="D284" t="s">
        <v>12</v>
      </c>
      <c r="E284" t="s">
        <v>80</v>
      </c>
      <c r="F284" t="s">
        <v>13</v>
      </c>
      <c r="G284" s="15">
        <v>153.96</v>
      </c>
      <c r="H284" t="s">
        <v>26</v>
      </c>
      <c r="I284">
        <v>2</v>
      </c>
      <c r="J284" t="s">
        <v>48</v>
      </c>
      <c r="K284" t="s">
        <v>46</v>
      </c>
      <c r="L284" t="s">
        <v>45</v>
      </c>
      <c r="M284" t="s">
        <v>59</v>
      </c>
      <c r="N284" s="15">
        <v>162.72999999999999</v>
      </c>
      <c r="O284" s="16">
        <v>-5.4</v>
      </c>
      <c r="P284">
        <v>0</v>
      </c>
    </row>
    <row r="285" spans="1:16" x14ac:dyDescent="0.3">
      <c r="A285" t="s">
        <v>65</v>
      </c>
      <c r="B285" t="s">
        <v>19</v>
      </c>
      <c r="C285" t="s">
        <v>19</v>
      </c>
      <c r="D285" t="s">
        <v>8</v>
      </c>
      <c r="E285" t="s">
        <v>73</v>
      </c>
      <c r="F285" t="s">
        <v>9</v>
      </c>
      <c r="G285" s="15">
        <v>75.260000000000005</v>
      </c>
      <c r="H285" t="s">
        <v>27</v>
      </c>
      <c r="I285">
        <v>3</v>
      </c>
      <c r="J285" t="s">
        <v>47</v>
      </c>
      <c r="K285" t="s">
        <v>46</v>
      </c>
      <c r="L285" t="s">
        <v>45</v>
      </c>
      <c r="M285" t="s">
        <v>59</v>
      </c>
      <c r="N285" s="15">
        <v>88.05</v>
      </c>
      <c r="O285" s="16">
        <v>-14.5</v>
      </c>
      <c r="P285">
        <v>0</v>
      </c>
    </row>
    <row r="286" spans="1:16" x14ac:dyDescent="0.3">
      <c r="A286" t="s">
        <v>57</v>
      </c>
      <c r="B286" t="s">
        <v>22</v>
      </c>
      <c r="C286" t="s">
        <v>22</v>
      </c>
      <c r="D286" t="s">
        <v>11</v>
      </c>
      <c r="E286" t="s">
        <v>70</v>
      </c>
      <c r="F286" t="s">
        <v>9</v>
      </c>
      <c r="G286" s="15">
        <v>40</v>
      </c>
      <c r="H286" t="s">
        <v>26</v>
      </c>
      <c r="I286">
        <v>2</v>
      </c>
      <c r="J286" t="s">
        <v>47</v>
      </c>
      <c r="K286" t="s">
        <v>45</v>
      </c>
      <c r="L286" t="s">
        <v>45</v>
      </c>
      <c r="M286" t="s">
        <v>72</v>
      </c>
      <c r="N286" s="15">
        <v>30.5</v>
      </c>
      <c r="O286" s="16">
        <v>31.1</v>
      </c>
      <c r="P286">
        <v>1</v>
      </c>
    </row>
    <row r="287" spans="1:16" x14ac:dyDescent="0.3">
      <c r="A287" t="s">
        <v>65</v>
      </c>
      <c r="B287" t="s">
        <v>18</v>
      </c>
      <c r="C287" t="s">
        <v>18</v>
      </c>
      <c r="D287" t="s">
        <v>15</v>
      </c>
      <c r="E287" t="s">
        <v>75</v>
      </c>
      <c r="F287" t="s">
        <v>9</v>
      </c>
      <c r="G287" s="15">
        <v>119.24</v>
      </c>
      <c r="H287" t="s">
        <v>27</v>
      </c>
      <c r="I287">
        <v>3</v>
      </c>
      <c r="J287" t="s">
        <v>48</v>
      </c>
      <c r="K287" t="s">
        <v>45</v>
      </c>
      <c r="L287" t="s">
        <v>45</v>
      </c>
      <c r="M287" t="s">
        <v>68</v>
      </c>
      <c r="N287" s="15">
        <v>126.9</v>
      </c>
      <c r="O287" s="16">
        <v>-6</v>
      </c>
      <c r="P287">
        <v>0</v>
      </c>
    </row>
    <row r="288" spans="1:16" x14ac:dyDescent="0.3">
      <c r="A288" t="s">
        <v>57</v>
      </c>
      <c r="B288" t="s">
        <v>20</v>
      </c>
      <c r="C288" t="s">
        <v>20</v>
      </c>
      <c r="D288" t="s">
        <v>11</v>
      </c>
      <c r="E288" t="s">
        <v>70</v>
      </c>
      <c r="F288" t="s">
        <v>9</v>
      </c>
      <c r="G288" s="15">
        <v>33.76</v>
      </c>
      <c r="H288" t="s">
        <v>27</v>
      </c>
      <c r="I288">
        <v>3</v>
      </c>
      <c r="J288" t="s">
        <v>44</v>
      </c>
      <c r="K288" t="s">
        <v>46</v>
      </c>
      <c r="L288" t="s">
        <v>45</v>
      </c>
      <c r="M288" t="s">
        <v>68</v>
      </c>
      <c r="N288" s="15">
        <v>30.5</v>
      </c>
      <c r="O288" s="16">
        <v>10.7</v>
      </c>
      <c r="P288">
        <v>0</v>
      </c>
    </row>
    <row r="289" spans="1:16" x14ac:dyDescent="0.3">
      <c r="A289" t="s">
        <v>57</v>
      </c>
      <c r="B289" t="s">
        <v>21</v>
      </c>
      <c r="C289" t="s">
        <v>62</v>
      </c>
      <c r="D289" t="s">
        <v>11</v>
      </c>
      <c r="E289" t="s">
        <v>70</v>
      </c>
      <c r="F289" t="s">
        <v>9</v>
      </c>
      <c r="G289" s="15">
        <v>29.68</v>
      </c>
      <c r="H289" t="s">
        <v>26</v>
      </c>
      <c r="I289">
        <v>2</v>
      </c>
      <c r="J289" t="s">
        <v>48</v>
      </c>
      <c r="K289" t="s">
        <v>46</v>
      </c>
      <c r="L289" t="s">
        <v>45</v>
      </c>
      <c r="M289" t="s">
        <v>67</v>
      </c>
      <c r="N289" s="15">
        <v>30.5</v>
      </c>
      <c r="O289" s="16">
        <v>-2.7</v>
      </c>
      <c r="P289">
        <v>0</v>
      </c>
    </row>
    <row r="290" spans="1:16" x14ac:dyDescent="0.3">
      <c r="A290" t="s">
        <v>60</v>
      </c>
      <c r="B290" t="s">
        <v>19</v>
      </c>
      <c r="C290" t="s">
        <v>19</v>
      </c>
      <c r="D290" t="s">
        <v>15</v>
      </c>
      <c r="E290" t="s">
        <v>75</v>
      </c>
      <c r="F290" t="s">
        <v>9</v>
      </c>
      <c r="G290" s="15">
        <v>114.22</v>
      </c>
      <c r="H290" t="s">
        <v>27</v>
      </c>
      <c r="I290">
        <v>3</v>
      </c>
      <c r="J290" t="s">
        <v>47</v>
      </c>
      <c r="K290" t="s">
        <v>46</v>
      </c>
      <c r="L290" t="s">
        <v>45</v>
      </c>
      <c r="M290" t="s">
        <v>67</v>
      </c>
      <c r="N290" s="15">
        <v>119</v>
      </c>
      <c r="O290" s="16">
        <v>-4</v>
      </c>
      <c r="P290">
        <v>0</v>
      </c>
    </row>
    <row r="291" spans="1:16" x14ac:dyDescent="0.3">
      <c r="A291" t="s">
        <v>57</v>
      </c>
      <c r="B291" t="s">
        <v>21</v>
      </c>
      <c r="C291" t="s">
        <v>62</v>
      </c>
      <c r="D291" t="s">
        <v>15</v>
      </c>
      <c r="E291" t="s">
        <v>76</v>
      </c>
      <c r="F291" t="s">
        <v>9</v>
      </c>
      <c r="G291" s="15">
        <v>114.12</v>
      </c>
      <c r="H291" t="s">
        <v>26</v>
      </c>
      <c r="I291">
        <v>2</v>
      </c>
      <c r="J291" t="s">
        <v>48</v>
      </c>
      <c r="K291" t="s">
        <v>46</v>
      </c>
      <c r="L291" t="s">
        <v>45</v>
      </c>
      <c r="M291" t="s">
        <v>72</v>
      </c>
      <c r="N291" s="15">
        <v>118.59</v>
      </c>
      <c r="O291" s="16">
        <v>-3.8</v>
      </c>
      <c r="P291">
        <v>0</v>
      </c>
    </row>
    <row r="292" spans="1:16" x14ac:dyDescent="0.3">
      <c r="A292" t="s">
        <v>57</v>
      </c>
      <c r="B292" t="s">
        <v>21</v>
      </c>
      <c r="C292" t="s">
        <v>62</v>
      </c>
      <c r="D292" t="s">
        <v>11</v>
      </c>
      <c r="E292" t="s">
        <v>79</v>
      </c>
      <c r="F292" t="s">
        <v>9</v>
      </c>
      <c r="G292" s="15">
        <v>29.77</v>
      </c>
      <c r="H292" t="s">
        <v>27</v>
      </c>
      <c r="I292">
        <v>3</v>
      </c>
      <c r="J292" t="s">
        <v>47</v>
      </c>
      <c r="K292" t="s">
        <v>46</v>
      </c>
      <c r="L292" t="s">
        <v>45</v>
      </c>
      <c r="M292" t="s">
        <v>64</v>
      </c>
      <c r="N292" s="15">
        <v>30.93</v>
      </c>
      <c r="O292" s="16">
        <v>-3.8</v>
      </c>
      <c r="P292">
        <v>0</v>
      </c>
    </row>
    <row r="293" spans="1:16" x14ac:dyDescent="0.3">
      <c r="A293" t="s">
        <v>57</v>
      </c>
      <c r="B293" t="s">
        <v>17</v>
      </c>
      <c r="C293" t="s">
        <v>17</v>
      </c>
      <c r="D293" t="s">
        <v>8</v>
      </c>
      <c r="E293" t="s">
        <v>73</v>
      </c>
      <c r="F293" t="s">
        <v>9</v>
      </c>
      <c r="G293" s="15">
        <v>72.31</v>
      </c>
      <c r="H293" t="s">
        <v>27</v>
      </c>
      <c r="I293">
        <v>3</v>
      </c>
      <c r="J293" t="s">
        <v>48</v>
      </c>
      <c r="K293" t="s">
        <v>46</v>
      </c>
      <c r="L293" t="s">
        <v>46</v>
      </c>
      <c r="M293" t="s">
        <v>68</v>
      </c>
      <c r="N293" s="15">
        <v>86.06</v>
      </c>
      <c r="O293" s="16">
        <v>-16</v>
      </c>
      <c r="P293">
        <v>0</v>
      </c>
    </row>
    <row r="294" spans="1:16" x14ac:dyDescent="0.3">
      <c r="A294" t="s">
        <v>57</v>
      </c>
      <c r="B294" t="s">
        <v>17</v>
      </c>
      <c r="C294" t="s">
        <v>17</v>
      </c>
      <c r="D294" t="s">
        <v>11</v>
      </c>
      <c r="E294" t="s">
        <v>79</v>
      </c>
      <c r="F294" t="s">
        <v>9</v>
      </c>
      <c r="G294" s="15">
        <v>31.29</v>
      </c>
      <c r="H294" t="s">
        <v>27</v>
      </c>
      <c r="I294">
        <v>3</v>
      </c>
      <c r="J294" t="s">
        <v>47</v>
      </c>
      <c r="K294" t="s">
        <v>46</v>
      </c>
      <c r="L294" t="s">
        <v>46</v>
      </c>
      <c r="M294" t="s">
        <v>59</v>
      </c>
      <c r="N294" s="15">
        <v>30.93</v>
      </c>
      <c r="O294" s="16">
        <v>1.2</v>
      </c>
      <c r="P294">
        <v>0</v>
      </c>
    </row>
    <row r="295" spans="1:16" x14ac:dyDescent="0.3">
      <c r="A295" t="s">
        <v>65</v>
      </c>
      <c r="B295" t="s">
        <v>17</v>
      </c>
      <c r="C295" t="s">
        <v>17</v>
      </c>
      <c r="D295" t="s">
        <v>15</v>
      </c>
      <c r="E295" t="s">
        <v>76</v>
      </c>
      <c r="F295" t="s">
        <v>9</v>
      </c>
      <c r="G295" s="15">
        <v>102.52</v>
      </c>
      <c r="H295" t="s">
        <v>26</v>
      </c>
      <c r="I295">
        <v>2</v>
      </c>
      <c r="J295" t="s">
        <v>47</v>
      </c>
      <c r="K295" t="s">
        <v>46</v>
      </c>
      <c r="L295" t="s">
        <v>45</v>
      </c>
      <c r="M295" t="s">
        <v>67</v>
      </c>
      <c r="N295" s="15">
        <v>126.51</v>
      </c>
      <c r="O295" s="16">
        <v>-19</v>
      </c>
      <c r="P295">
        <v>0</v>
      </c>
    </row>
    <row r="296" spans="1:16" x14ac:dyDescent="0.3">
      <c r="A296" t="s">
        <v>57</v>
      </c>
      <c r="B296" t="s">
        <v>19</v>
      </c>
      <c r="C296" t="s">
        <v>19</v>
      </c>
      <c r="D296" t="s">
        <v>10</v>
      </c>
      <c r="E296" t="s">
        <v>58</v>
      </c>
      <c r="F296" t="s">
        <v>9</v>
      </c>
      <c r="G296" s="15">
        <v>136.09</v>
      </c>
      <c r="H296" t="s">
        <v>26</v>
      </c>
      <c r="I296">
        <v>2</v>
      </c>
      <c r="J296" t="s">
        <v>48</v>
      </c>
      <c r="K296" t="s">
        <v>46</v>
      </c>
      <c r="L296" t="s">
        <v>45</v>
      </c>
      <c r="M296" t="s">
        <v>78</v>
      </c>
      <c r="N296" s="15">
        <v>151.19</v>
      </c>
      <c r="O296" s="16">
        <v>-10</v>
      </c>
      <c r="P296">
        <v>0</v>
      </c>
    </row>
    <row r="297" spans="1:16" x14ac:dyDescent="0.3">
      <c r="A297" t="s">
        <v>57</v>
      </c>
      <c r="B297" t="s">
        <v>18</v>
      </c>
      <c r="C297" t="s">
        <v>18</v>
      </c>
      <c r="D297" t="s">
        <v>8</v>
      </c>
      <c r="E297" t="s">
        <v>73</v>
      </c>
      <c r="F297" t="s">
        <v>9</v>
      </c>
      <c r="G297" s="15">
        <v>91.93</v>
      </c>
      <c r="H297" t="s">
        <v>26</v>
      </c>
      <c r="I297">
        <v>2</v>
      </c>
      <c r="J297" t="s">
        <v>48</v>
      </c>
      <c r="K297" t="s">
        <v>46</v>
      </c>
      <c r="L297" t="s">
        <v>46</v>
      </c>
      <c r="M297" t="s">
        <v>72</v>
      </c>
      <c r="N297" s="15">
        <v>86.06</v>
      </c>
      <c r="O297" s="16">
        <v>6.8</v>
      </c>
      <c r="P297">
        <v>0</v>
      </c>
    </row>
    <row r="298" spans="1:16" x14ac:dyDescent="0.3">
      <c r="A298" t="s">
        <v>65</v>
      </c>
      <c r="B298" t="s">
        <v>17</v>
      </c>
      <c r="C298" t="s">
        <v>17</v>
      </c>
      <c r="D298" t="s">
        <v>14</v>
      </c>
      <c r="E298" t="s">
        <v>77</v>
      </c>
      <c r="F298" t="s">
        <v>9</v>
      </c>
      <c r="G298" s="15">
        <v>67.900000000000006</v>
      </c>
      <c r="H298" t="s">
        <v>26</v>
      </c>
      <c r="I298">
        <v>2</v>
      </c>
      <c r="J298" t="s">
        <v>47</v>
      </c>
      <c r="K298" t="s">
        <v>46</v>
      </c>
      <c r="L298" t="s">
        <v>45</v>
      </c>
      <c r="M298" t="s">
        <v>72</v>
      </c>
      <c r="N298" s="15">
        <v>70.66</v>
      </c>
      <c r="O298" s="16">
        <v>-3.9</v>
      </c>
      <c r="P298">
        <v>0</v>
      </c>
    </row>
    <row r="299" spans="1:16" x14ac:dyDescent="0.3">
      <c r="A299" t="s">
        <v>57</v>
      </c>
      <c r="B299" t="s">
        <v>19</v>
      </c>
      <c r="C299" t="s">
        <v>19</v>
      </c>
      <c r="D299" t="s">
        <v>8</v>
      </c>
      <c r="E299" t="s">
        <v>73</v>
      </c>
      <c r="F299" t="s">
        <v>9</v>
      </c>
      <c r="G299" s="15">
        <v>105.33</v>
      </c>
      <c r="H299" t="s">
        <v>26</v>
      </c>
      <c r="I299">
        <v>2</v>
      </c>
      <c r="J299" t="s">
        <v>48</v>
      </c>
      <c r="K299" t="s">
        <v>45</v>
      </c>
      <c r="L299" t="s">
        <v>46</v>
      </c>
      <c r="M299" t="s">
        <v>59</v>
      </c>
      <c r="N299" s="15">
        <v>86.06</v>
      </c>
      <c r="O299" s="16">
        <v>22.4</v>
      </c>
      <c r="P299">
        <v>1</v>
      </c>
    </row>
    <row r="300" spans="1:16" x14ac:dyDescent="0.3">
      <c r="A300" t="s">
        <v>65</v>
      </c>
      <c r="B300" t="s">
        <v>20</v>
      </c>
      <c r="C300" t="s">
        <v>20</v>
      </c>
      <c r="D300" t="s">
        <v>11</v>
      </c>
      <c r="E300" t="s">
        <v>79</v>
      </c>
      <c r="F300" t="s">
        <v>9</v>
      </c>
      <c r="G300" s="15">
        <v>34.020000000000003</v>
      </c>
      <c r="H300" t="s">
        <v>25</v>
      </c>
      <c r="I300">
        <v>1</v>
      </c>
      <c r="J300" t="s">
        <v>47</v>
      </c>
      <c r="K300" t="s">
        <v>45</v>
      </c>
      <c r="L300" t="s">
        <v>46</v>
      </c>
      <c r="M300" t="s">
        <v>64</v>
      </c>
      <c r="N300" s="15">
        <v>33.39</v>
      </c>
      <c r="O300" s="16">
        <v>1.9</v>
      </c>
      <c r="P300">
        <v>0</v>
      </c>
    </row>
    <row r="301" spans="1:16" x14ac:dyDescent="0.3">
      <c r="A301" t="s">
        <v>57</v>
      </c>
      <c r="B301" t="s">
        <v>21</v>
      </c>
      <c r="C301" t="s">
        <v>62</v>
      </c>
      <c r="D301" t="s">
        <v>12</v>
      </c>
      <c r="E301" t="s">
        <v>66</v>
      </c>
      <c r="F301" t="s">
        <v>13</v>
      </c>
      <c r="G301" s="15">
        <v>200</v>
      </c>
      <c r="H301" t="s">
        <v>25</v>
      </c>
      <c r="I301">
        <v>1</v>
      </c>
      <c r="J301" t="s">
        <v>47</v>
      </c>
      <c r="K301" t="s">
        <v>46</v>
      </c>
      <c r="L301" t="s">
        <v>45</v>
      </c>
      <c r="M301" t="s">
        <v>64</v>
      </c>
      <c r="N301" s="15">
        <v>170.56</v>
      </c>
      <c r="O301" s="16">
        <v>17.3</v>
      </c>
      <c r="P301">
        <v>1</v>
      </c>
    </row>
    <row r="302" spans="1:16" x14ac:dyDescent="0.3">
      <c r="A302" t="s">
        <v>57</v>
      </c>
      <c r="B302" t="s">
        <v>20</v>
      </c>
      <c r="C302" t="s">
        <v>20</v>
      </c>
      <c r="D302" t="s">
        <v>11</v>
      </c>
      <c r="E302" t="s">
        <v>79</v>
      </c>
      <c r="F302" t="s">
        <v>9</v>
      </c>
      <c r="G302" s="15">
        <v>40</v>
      </c>
      <c r="H302" t="s">
        <v>26</v>
      </c>
      <c r="I302">
        <v>2</v>
      </c>
      <c r="J302" t="s">
        <v>47</v>
      </c>
      <c r="K302" t="s">
        <v>45</v>
      </c>
      <c r="L302" t="s">
        <v>45</v>
      </c>
      <c r="M302" t="s">
        <v>68</v>
      </c>
      <c r="N302" s="15">
        <v>30.93</v>
      </c>
      <c r="O302" s="16">
        <v>29.3</v>
      </c>
      <c r="P302">
        <v>1</v>
      </c>
    </row>
    <row r="303" spans="1:16" x14ac:dyDescent="0.3">
      <c r="A303" t="s">
        <v>60</v>
      </c>
      <c r="B303" t="s">
        <v>18</v>
      </c>
      <c r="C303" t="s">
        <v>18</v>
      </c>
      <c r="D303" t="s">
        <v>14</v>
      </c>
      <c r="E303" t="s">
        <v>77</v>
      </c>
      <c r="F303" t="s">
        <v>9</v>
      </c>
      <c r="G303" s="15">
        <v>68.41</v>
      </c>
      <c r="H303" t="s">
        <v>25</v>
      </c>
      <c r="I303">
        <v>1</v>
      </c>
      <c r="J303" t="s">
        <v>48</v>
      </c>
      <c r="K303" t="s">
        <v>46</v>
      </c>
      <c r="L303" t="s">
        <v>45</v>
      </c>
      <c r="M303" t="s">
        <v>59</v>
      </c>
      <c r="N303" s="15">
        <v>67.13</v>
      </c>
      <c r="O303" s="16">
        <v>1.9</v>
      </c>
      <c r="P303">
        <v>0</v>
      </c>
    </row>
    <row r="304" spans="1:16" x14ac:dyDescent="0.3">
      <c r="A304" t="s">
        <v>65</v>
      </c>
      <c r="B304" t="s">
        <v>22</v>
      </c>
      <c r="C304" t="s">
        <v>22</v>
      </c>
      <c r="D304" t="s">
        <v>12</v>
      </c>
      <c r="E304" t="s">
        <v>80</v>
      </c>
      <c r="F304" t="s">
        <v>13</v>
      </c>
      <c r="G304" s="15">
        <v>174.4</v>
      </c>
      <c r="H304" t="s">
        <v>26</v>
      </c>
      <c r="I304">
        <v>2</v>
      </c>
      <c r="J304" t="s">
        <v>48</v>
      </c>
      <c r="K304" t="s">
        <v>45</v>
      </c>
      <c r="L304" t="s">
        <v>45</v>
      </c>
      <c r="M304" t="s">
        <v>72</v>
      </c>
      <c r="N304" s="15">
        <v>176.57</v>
      </c>
      <c r="O304" s="16">
        <v>-1.2</v>
      </c>
      <c r="P304">
        <v>0</v>
      </c>
    </row>
    <row r="305" spans="1:16" x14ac:dyDescent="0.3">
      <c r="A305" t="s">
        <v>60</v>
      </c>
      <c r="B305" t="s">
        <v>22</v>
      </c>
      <c r="C305" t="s">
        <v>22</v>
      </c>
      <c r="D305" t="s">
        <v>14</v>
      </c>
      <c r="E305" t="s">
        <v>71</v>
      </c>
      <c r="F305" t="s">
        <v>9</v>
      </c>
      <c r="G305" s="15">
        <v>72.05</v>
      </c>
      <c r="H305" t="s">
        <v>26</v>
      </c>
      <c r="I305">
        <v>2</v>
      </c>
      <c r="J305" t="s">
        <v>48</v>
      </c>
      <c r="K305" t="s">
        <v>46</v>
      </c>
      <c r="L305" t="s">
        <v>46</v>
      </c>
      <c r="M305" t="s">
        <v>68</v>
      </c>
      <c r="N305" s="15">
        <v>65.239999999999995</v>
      </c>
      <c r="O305" s="16">
        <v>10.4</v>
      </c>
      <c r="P305">
        <v>0</v>
      </c>
    </row>
    <row r="306" spans="1:16" x14ac:dyDescent="0.3">
      <c r="A306" t="s">
        <v>65</v>
      </c>
      <c r="B306" t="s">
        <v>22</v>
      </c>
      <c r="C306" t="s">
        <v>22</v>
      </c>
      <c r="D306" t="s">
        <v>15</v>
      </c>
      <c r="E306" t="s">
        <v>75</v>
      </c>
      <c r="F306" t="s">
        <v>9</v>
      </c>
      <c r="G306" s="15">
        <v>140</v>
      </c>
      <c r="H306" t="s">
        <v>26</v>
      </c>
      <c r="I306">
        <v>2</v>
      </c>
      <c r="J306" t="s">
        <v>47</v>
      </c>
      <c r="K306" t="s">
        <v>45</v>
      </c>
      <c r="L306" t="s">
        <v>46</v>
      </c>
      <c r="M306" t="s">
        <v>72</v>
      </c>
      <c r="N306" s="15">
        <v>126.9</v>
      </c>
      <c r="O306" s="16">
        <v>10.3</v>
      </c>
      <c r="P306">
        <v>0</v>
      </c>
    </row>
    <row r="307" spans="1:16" x14ac:dyDescent="0.3">
      <c r="A307" t="s">
        <v>65</v>
      </c>
      <c r="B307" t="s">
        <v>19</v>
      </c>
      <c r="C307" t="s">
        <v>19</v>
      </c>
      <c r="D307" t="s">
        <v>8</v>
      </c>
      <c r="E307" t="s">
        <v>73</v>
      </c>
      <c r="F307" t="s">
        <v>9</v>
      </c>
      <c r="G307" s="15">
        <v>86.02</v>
      </c>
      <c r="H307" t="s">
        <v>26</v>
      </c>
      <c r="I307">
        <v>2</v>
      </c>
      <c r="J307" t="s">
        <v>48</v>
      </c>
      <c r="K307" t="s">
        <v>45</v>
      </c>
      <c r="L307" t="s">
        <v>45</v>
      </c>
      <c r="M307" t="s">
        <v>78</v>
      </c>
      <c r="N307" s="15">
        <v>88.05</v>
      </c>
      <c r="O307" s="16">
        <v>-2.2999999999999998</v>
      </c>
      <c r="P307">
        <v>0</v>
      </c>
    </row>
    <row r="308" spans="1:16" x14ac:dyDescent="0.3">
      <c r="A308" t="s">
        <v>57</v>
      </c>
      <c r="B308" t="s">
        <v>17</v>
      </c>
      <c r="C308" t="s">
        <v>17</v>
      </c>
      <c r="D308" t="s">
        <v>14</v>
      </c>
      <c r="E308" t="s">
        <v>77</v>
      </c>
      <c r="F308" t="s">
        <v>9</v>
      </c>
      <c r="G308" s="15">
        <v>77.33</v>
      </c>
      <c r="H308" t="s">
        <v>26</v>
      </c>
      <c r="I308">
        <v>2</v>
      </c>
      <c r="J308" t="s">
        <v>47</v>
      </c>
      <c r="K308" t="s">
        <v>45</v>
      </c>
      <c r="L308" t="s">
        <v>45</v>
      </c>
      <c r="M308" t="s">
        <v>68</v>
      </c>
      <c r="N308" s="15">
        <v>65.97</v>
      </c>
      <c r="O308" s="16">
        <v>17.2</v>
      </c>
      <c r="P308">
        <v>1</v>
      </c>
    </row>
    <row r="309" spans="1:16" x14ac:dyDescent="0.3">
      <c r="A309" t="s">
        <v>65</v>
      </c>
      <c r="B309" t="s">
        <v>21</v>
      </c>
      <c r="C309" t="s">
        <v>62</v>
      </c>
      <c r="D309" t="s">
        <v>14</v>
      </c>
      <c r="E309" t="s">
        <v>77</v>
      </c>
      <c r="F309" t="s">
        <v>9</v>
      </c>
      <c r="G309" s="15">
        <v>72.73</v>
      </c>
      <c r="H309" t="s">
        <v>26</v>
      </c>
      <c r="I309">
        <v>2</v>
      </c>
      <c r="J309" t="s">
        <v>48</v>
      </c>
      <c r="K309" t="s">
        <v>45</v>
      </c>
      <c r="L309" t="s">
        <v>45</v>
      </c>
      <c r="M309" t="s">
        <v>68</v>
      </c>
      <c r="N309" s="15">
        <v>70.66</v>
      </c>
      <c r="O309" s="16">
        <v>2.9</v>
      </c>
      <c r="P309">
        <v>0</v>
      </c>
    </row>
    <row r="310" spans="1:16" x14ac:dyDescent="0.3">
      <c r="A310" t="s">
        <v>60</v>
      </c>
      <c r="B310" t="s">
        <v>19</v>
      </c>
      <c r="C310" t="s">
        <v>19</v>
      </c>
      <c r="D310" t="s">
        <v>11</v>
      </c>
      <c r="E310" t="s">
        <v>70</v>
      </c>
      <c r="F310" t="s">
        <v>9</v>
      </c>
      <c r="G310" s="15">
        <v>38.67</v>
      </c>
      <c r="H310" t="s">
        <v>27</v>
      </c>
      <c r="I310">
        <v>3</v>
      </c>
      <c r="J310" t="s">
        <v>47</v>
      </c>
      <c r="K310" t="s">
        <v>45</v>
      </c>
      <c r="L310" t="s">
        <v>45</v>
      </c>
      <c r="M310" t="s">
        <v>78</v>
      </c>
      <c r="N310" s="15">
        <v>31.4</v>
      </c>
      <c r="O310" s="16">
        <v>23.2</v>
      </c>
      <c r="P310">
        <v>1</v>
      </c>
    </row>
    <row r="311" spans="1:16" x14ac:dyDescent="0.3">
      <c r="A311" t="s">
        <v>65</v>
      </c>
      <c r="B311" t="s">
        <v>17</v>
      </c>
      <c r="C311" t="s">
        <v>17</v>
      </c>
      <c r="D311" t="s">
        <v>11</v>
      </c>
      <c r="E311" t="s">
        <v>79</v>
      </c>
      <c r="F311" t="s">
        <v>9</v>
      </c>
      <c r="G311" s="15">
        <v>35.32</v>
      </c>
      <c r="H311" t="s">
        <v>27</v>
      </c>
      <c r="I311">
        <v>3</v>
      </c>
      <c r="J311" t="s">
        <v>44</v>
      </c>
      <c r="K311" t="s">
        <v>45</v>
      </c>
      <c r="L311" t="s">
        <v>45</v>
      </c>
      <c r="M311" t="s">
        <v>78</v>
      </c>
      <c r="N311" s="15">
        <v>33.39</v>
      </c>
      <c r="O311" s="16">
        <v>5.8</v>
      </c>
      <c r="P311">
        <v>0</v>
      </c>
    </row>
    <row r="312" spans="1:16" x14ac:dyDescent="0.3">
      <c r="A312" t="s">
        <v>60</v>
      </c>
      <c r="B312" t="s">
        <v>22</v>
      </c>
      <c r="C312" t="s">
        <v>22</v>
      </c>
      <c r="D312" t="s">
        <v>11</v>
      </c>
      <c r="E312" t="s">
        <v>79</v>
      </c>
      <c r="F312" t="s">
        <v>9</v>
      </c>
      <c r="G312" s="15">
        <v>27.34</v>
      </c>
      <c r="H312" t="s">
        <v>27</v>
      </c>
      <c r="I312">
        <v>3</v>
      </c>
      <c r="J312" t="s">
        <v>47</v>
      </c>
      <c r="K312" t="s">
        <v>46</v>
      </c>
      <c r="L312" t="s">
        <v>45</v>
      </c>
      <c r="M312" t="s">
        <v>64</v>
      </c>
      <c r="N312" s="15">
        <v>29.14</v>
      </c>
      <c r="O312" s="16">
        <v>-6.2</v>
      </c>
      <c r="P312">
        <v>0</v>
      </c>
    </row>
    <row r="313" spans="1:16" x14ac:dyDescent="0.3">
      <c r="A313" t="s">
        <v>65</v>
      </c>
      <c r="B313" t="s">
        <v>18</v>
      </c>
      <c r="C313" t="s">
        <v>18</v>
      </c>
      <c r="D313" t="s">
        <v>11</v>
      </c>
      <c r="E313" t="s">
        <v>79</v>
      </c>
      <c r="F313" t="s">
        <v>9</v>
      </c>
      <c r="G313" s="15">
        <v>34.54</v>
      </c>
      <c r="H313" t="s">
        <v>26</v>
      </c>
      <c r="I313">
        <v>2</v>
      </c>
      <c r="J313" t="s">
        <v>47</v>
      </c>
      <c r="K313" t="s">
        <v>45</v>
      </c>
      <c r="L313" t="s">
        <v>46</v>
      </c>
      <c r="M313" t="s">
        <v>67</v>
      </c>
      <c r="N313" s="15">
        <v>33.39</v>
      </c>
      <c r="O313" s="16">
        <v>3.4</v>
      </c>
      <c r="P313">
        <v>0</v>
      </c>
    </row>
    <row r="314" spans="1:16" x14ac:dyDescent="0.3">
      <c r="A314" t="s">
        <v>65</v>
      </c>
      <c r="B314" t="s">
        <v>20</v>
      </c>
      <c r="C314" t="s">
        <v>20</v>
      </c>
      <c r="D314" t="s">
        <v>14</v>
      </c>
      <c r="E314" t="s">
        <v>77</v>
      </c>
      <c r="F314" t="s">
        <v>9</v>
      </c>
      <c r="G314" s="15">
        <v>72.31</v>
      </c>
      <c r="H314" t="s">
        <v>26</v>
      </c>
      <c r="I314">
        <v>2</v>
      </c>
      <c r="J314" t="s">
        <v>48</v>
      </c>
      <c r="K314" t="s">
        <v>45</v>
      </c>
      <c r="L314" t="s">
        <v>45</v>
      </c>
      <c r="M314" t="s">
        <v>67</v>
      </c>
      <c r="N314" s="15">
        <v>70.66</v>
      </c>
      <c r="O314" s="16">
        <v>2.2999999999999998</v>
      </c>
      <c r="P314">
        <v>0</v>
      </c>
    </row>
    <row r="315" spans="1:16" x14ac:dyDescent="0.3">
      <c r="A315" t="s">
        <v>60</v>
      </c>
      <c r="B315" t="s">
        <v>18</v>
      </c>
      <c r="C315" t="s">
        <v>18</v>
      </c>
      <c r="D315" t="s">
        <v>12</v>
      </c>
      <c r="E315" t="s">
        <v>66</v>
      </c>
      <c r="F315" t="s">
        <v>13</v>
      </c>
      <c r="G315" s="15">
        <v>180.92</v>
      </c>
      <c r="H315" t="s">
        <v>26</v>
      </c>
      <c r="I315">
        <v>2</v>
      </c>
      <c r="J315" t="s">
        <v>48</v>
      </c>
      <c r="K315" t="s">
        <v>45</v>
      </c>
      <c r="L315" t="s">
        <v>45</v>
      </c>
      <c r="M315" t="s">
        <v>78</v>
      </c>
      <c r="N315" s="15">
        <v>168.34</v>
      </c>
      <c r="O315" s="16">
        <v>7.5</v>
      </c>
      <c r="P315">
        <v>0</v>
      </c>
    </row>
    <row r="316" spans="1:16" x14ac:dyDescent="0.3">
      <c r="A316" t="s">
        <v>60</v>
      </c>
      <c r="B316" t="s">
        <v>21</v>
      </c>
      <c r="C316" t="s">
        <v>62</v>
      </c>
      <c r="D316" t="s">
        <v>14</v>
      </c>
      <c r="E316" t="s">
        <v>77</v>
      </c>
      <c r="F316" t="s">
        <v>9</v>
      </c>
      <c r="G316" s="15">
        <v>68.64</v>
      </c>
      <c r="H316" t="s">
        <v>26</v>
      </c>
      <c r="I316">
        <v>2</v>
      </c>
      <c r="J316" t="s">
        <v>47</v>
      </c>
      <c r="K316" t="s">
        <v>45</v>
      </c>
      <c r="L316" t="s">
        <v>45</v>
      </c>
      <c r="M316" t="s">
        <v>64</v>
      </c>
      <c r="N316" s="15">
        <v>67.13</v>
      </c>
      <c r="O316" s="16">
        <v>2.2000000000000002</v>
      </c>
      <c r="P316">
        <v>0</v>
      </c>
    </row>
    <row r="317" spans="1:16" x14ac:dyDescent="0.3">
      <c r="A317" t="s">
        <v>57</v>
      </c>
      <c r="B317" t="s">
        <v>22</v>
      </c>
      <c r="C317" t="s">
        <v>22</v>
      </c>
      <c r="D317" t="s">
        <v>8</v>
      </c>
      <c r="E317" t="s">
        <v>74</v>
      </c>
      <c r="F317" t="s">
        <v>9</v>
      </c>
      <c r="G317" s="15">
        <v>79.819999999999993</v>
      </c>
      <c r="H317" t="s">
        <v>26</v>
      </c>
      <c r="I317">
        <v>2</v>
      </c>
      <c r="J317" t="s">
        <v>47</v>
      </c>
      <c r="K317" t="s">
        <v>46</v>
      </c>
      <c r="L317" t="s">
        <v>45</v>
      </c>
      <c r="M317" t="s">
        <v>64</v>
      </c>
      <c r="N317" s="15">
        <v>83.41</v>
      </c>
      <c r="O317" s="16">
        <v>-4.3</v>
      </c>
      <c r="P317">
        <v>0</v>
      </c>
    </row>
    <row r="318" spans="1:16" x14ac:dyDescent="0.3">
      <c r="A318" t="s">
        <v>65</v>
      </c>
      <c r="B318" t="s">
        <v>21</v>
      </c>
      <c r="C318" t="s">
        <v>62</v>
      </c>
      <c r="D318" t="s">
        <v>8</v>
      </c>
      <c r="E318" t="s">
        <v>73</v>
      </c>
      <c r="F318" t="s">
        <v>9</v>
      </c>
      <c r="G318" s="15">
        <v>98.7</v>
      </c>
      <c r="H318" t="s">
        <v>26</v>
      </c>
      <c r="I318">
        <v>2</v>
      </c>
      <c r="J318" t="s">
        <v>47</v>
      </c>
      <c r="K318" t="s">
        <v>46</v>
      </c>
      <c r="L318" t="s">
        <v>45</v>
      </c>
      <c r="M318" t="s">
        <v>72</v>
      </c>
      <c r="N318" s="15">
        <v>88.05</v>
      </c>
      <c r="O318" s="16">
        <v>12.1</v>
      </c>
      <c r="P318">
        <v>0</v>
      </c>
    </row>
    <row r="319" spans="1:16" x14ac:dyDescent="0.3">
      <c r="A319" t="s">
        <v>65</v>
      </c>
      <c r="B319" t="s">
        <v>21</v>
      </c>
      <c r="C319" t="s">
        <v>62</v>
      </c>
      <c r="D319" t="s">
        <v>15</v>
      </c>
      <c r="E319" t="s">
        <v>76</v>
      </c>
      <c r="F319" t="s">
        <v>9</v>
      </c>
      <c r="G319" s="15">
        <v>128.68</v>
      </c>
      <c r="H319" t="s">
        <v>26</v>
      </c>
      <c r="I319">
        <v>2</v>
      </c>
      <c r="J319" t="s">
        <v>47</v>
      </c>
      <c r="K319" t="s">
        <v>45</v>
      </c>
      <c r="L319" t="s">
        <v>45</v>
      </c>
      <c r="M319" t="s">
        <v>78</v>
      </c>
      <c r="N319" s="15">
        <v>126.51</v>
      </c>
      <c r="O319" s="16">
        <v>1.7</v>
      </c>
      <c r="P319">
        <v>0</v>
      </c>
    </row>
    <row r="320" spans="1:16" x14ac:dyDescent="0.3">
      <c r="A320" t="s">
        <v>57</v>
      </c>
      <c r="B320" t="s">
        <v>21</v>
      </c>
      <c r="C320" t="s">
        <v>62</v>
      </c>
      <c r="D320" t="s">
        <v>8</v>
      </c>
      <c r="E320" t="s">
        <v>74</v>
      </c>
      <c r="F320" t="s">
        <v>9</v>
      </c>
      <c r="G320" s="15">
        <v>84.29</v>
      </c>
      <c r="H320" t="s">
        <v>26</v>
      </c>
      <c r="I320">
        <v>2</v>
      </c>
      <c r="J320" t="s">
        <v>48</v>
      </c>
      <c r="K320" t="s">
        <v>45</v>
      </c>
      <c r="L320" t="s">
        <v>45</v>
      </c>
      <c r="M320" t="s">
        <v>68</v>
      </c>
      <c r="N320" s="15">
        <v>83.41</v>
      </c>
      <c r="O320" s="16">
        <v>1.1000000000000001</v>
      </c>
      <c r="P320">
        <v>0</v>
      </c>
    </row>
    <row r="321" spans="1:16" x14ac:dyDescent="0.3">
      <c r="A321" t="s">
        <v>57</v>
      </c>
      <c r="B321" t="s">
        <v>19</v>
      </c>
      <c r="C321" t="s">
        <v>19</v>
      </c>
      <c r="D321" t="s">
        <v>14</v>
      </c>
      <c r="E321" t="s">
        <v>71</v>
      </c>
      <c r="F321" t="s">
        <v>9</v>
      </c>
      <c r="G321" s="15">
        <v>63.36</v>
      </c>
      <c r="H321" t="s">
        <v>26</v>
      </c>
      <c r="I321">
        <v>2</v>
      </c>
      <c r="J321" t="s">
        <v>48</v>
      </c>
      <c r="K321" t="s">
        <v>45</v>
      </c>
      <c r="L321" t="s">
        <v>45</v>
      </c>
      <c r="M321" t="s">
        <v>61</v>
      </c>
      <c r="N321" s="15">
        <v>65.77</v>
      </c>
      <c r="O321" s="16">
        <v>-3.7</v>
      </c>
      <c r="P321">
        <v>0</v>
      </c>
    </row>
    <row r="322" spans="1:16" x14ac:dyDescent="0.3">
      <c r="A322" t="s">
        <v>60</v>
      </c>
      <c r="B322" t="s">
        <v>21</v>
      </c>
      <c r="C322" t="s">
        <v>62</v>
      </c>
      <c r="D322" t="s">
        <v>8</v>
      </c>
      <c r="E322" t="s">
        <v>74</v>
      </c>
      <c r="F322" t="s">
        <v>9</v>
      </c>
      <c r="G322" s="15">
        <v>84.81</v>
      </c>
      <c r="H322" t="s">
        <v>27</v>
      </c>
      <c r="I322">
        <v>3</v>
      </c>
      <c r="J322" t="s">
        <v>47</v>
      </c>
      <c r="K322" t="s">
        <v>46</v>
      </c>
      <c r="L322" t="s">
        <v>46</v>
      </c>
      <c r="M322" t="s">
        <v>59</v>
      </c>
      <c r="N322" s="15">
        <v>78.260000000000005</v>
      </c>
      <c r="O322" s="16">
        <v>8.4</v>
      </c>
      <c r="P322">
        <v>0</v>
      </c>
    </row>
    <row r="323" spans="1:16" x14ac:dyDescent="0.3">
      <c r="A323" t="s">
        <v>65</v>
      </c>
      <c r="B323" t="s">
        <v>21</v>
      </c>
      <c r="C323" t="s">
        <v>62</v>
      </c>
      <c r="D323" t="s">
        <v>10</v>
      </c>
      <c r="E323" t="s">
        <v>69</v>
      </c>
      <c r="F323" t="s">
        <v>9</v>
      </c>
      <c r="G323" s="15">
        <v>151.34</v>
      </c>
      <c r="H323" t="s">
        <v>26</v>
      </c>
      <c r="I323">
        <v>2</v>
      </c>
      <c r="J323" t="s">
        <v>47</v>
      </c>
      <c r="K323" t="s">
        <v>45</v>
      </c>
      <c r="L323" t="s">
        <v>45</v>
      </c>
      <c r="M323" t="s">
        <v>67</v>
      </c>
      <c r="N323" s="15">
        <v>158.91999999999999</v>
      </c>
      <c r="O323" s="16">
        <v>-4.8</v>
      </c>
      <c r="P323">
        <v>0</v>
      </c>
    </row>
    <row r="324" spans="1:16" x14ac:dyDescent="0.3">
      <c r="A324" t="s">
        <v>60</v>
      </c>
      <c r="B324" t="s">
        <v>21</v>
      </c>
      <c r="C324" t="s">
        <v>62</v>
      </c>
      <c r="D324" t="s">
        <v>14</v>
      </c>
      <c r="E324" t="s">
        <v>71</v>
      </c>
      <c r="F324" t="s">
        <v>9</v>
      </c>
      <c r="G324" s="15">
        <v>61.37</v>
      </c>
      <c r="H324" t="s">
        <v>25</v>
      </c>
      <c r="I324">
        <v>1</v>
      </c>
      <c r="J324" t="s">
        <v>48</v>
      </c>
      <c r="K324" t="s">
        <v>46</v>
      </c>
      <c r="L324" t="s">
        <v>45</v>
      </c>
      <c r="M324" t="s">
        <v>68</v>
      </c>
      <c r="N324" s="15">
        <v>65.239999999999995</v>
      </c>
      <c r="O324" s="16">
        <v>-5.9</v>
      </c>
      <c r="P324">
        <v>0</v>
      </c>
    </row>
    <row r="325" spans="1:16" x14ac:dyDescent="0.3">
      <c r="A325" t="s">
        <v>57</v>
      </c>
      <c r="B325" t="s">
        <v>19</v>
      </c>
      <c r="C325" t="s">
        <v>19</v>
      </c>
      <c r="D325" t="s">
        <v>11</v>
      </c>
      <c r="E325" t="s">
        <v>79</v>
      </c>
      <c r="F325" t="s">
        <v>9</v>
      </c>
      <c r="G325" s="15">
        <v>31.07</v>
      </c>
      <c r="H325" t="s">
        <v>26</v>
      </c>
      <c r="I325">
        <v>2</v>
      </c>
      <c r="J325" t="s">
        <v>47</v>
      </c>
      <c r="K325" t="s">
        <v>45</v>
      </c>
      <c r="L325" t="s">
        <v>46</v>
      </c>
      <c r="M325" t="s">
        <v>78</v>
      </c>
      <c r="N325" s="15">
        <v>30.93</v>
      </c>
      <c r="O325" s="16">
        <v>0.5</v>
      </c>
      <c r="P325">
        <v>0</v>
      </c>
    </row>
    <row r="326" spans="1:16" x14ac:dyDescent="0.3">
      <c r="A326" t="s">
        <v>57</v>
      </c>
      <c r="B326" t="s">
        <v>17</v>
      </c>
      <c r="C326" t="s">
        <v>17</v>
      </c>
      <c r="D326" t="s">
        <v>11</v>
      </c>
      <c r="E326" t="s">
        <v>79</v>
      </c>
      <c r="F326" t="s">
        <v>9</v>
      </c>
      <c r="G326" s="15">
        <v>31.51</v>
      </c>
      <c r="H326" t="s">
        <v>27</v>
      </c>
      <c r="I326">
        <v>3</v>
      </c>
      <c r="J326" t="s">
        <v>47</v>
      </c>
      <c r="K326" t="s">
        <v>45</v>
      </c>
      <c r="L326" t="s">
        <v>46</v>
      </c>
      <c r="M326" t="s">
        <v>64</v>
      </c>
      <c r="N326" s="15">
        <v>30.93</v>
      </c>
      <c r="O326" s="16">
        <v>1.9</v>
      </c>
      <c r="P326">
        <v>0</v>
      </c>
    </row>
    <row r="327" spans="1:16" x14ac:dyDescent="0.3">
      <c r="A327" t="s">
        <v>65</v>
      </c>
      <c r="B327" t="s">
        <v>22</v>
      </c>
      <c r="C327" t="s">
        <v>22</v>
      </c>
      <c r="D327" t="s">
        <v>14</v>
      </c>
      <c r="E327" t="s">
        <v>71</v>
      </c>
      <c r="F327" t="s">
        <v>9</v>
      </c>
      <c r="G327" s="15">
        <v>74.81</v>
      </c>
      <c r="H327" t="s">
        <v>26</v>
      </c>
      <c r="I327">
        <v>2</v>
      </c>
      <c r="J327" t="s">
        <v>48</v>
      </c>
      <c r="K327" t="s">
        <v>45</v>
      </c>
      <c r="L327" t="s">
        <v>45</v>
      </c>
      <c r="M327" t="s">
        <v>64</v>
      </c>
      <c r="N327" s="15">
        <v>71.77</v>
      </c>
      <c r="O327" s="16">
        <v>4.2</v>
      </c>
      <c r="P327">
        <v>0</v>
      </c>
    </row>
    <row r="328" spans="1:16" x14ac:dyDescent="0.3">
      <c r="A328" t="s">
        <v>65</v>
      </c>
      <c r="B328" t="s">
        <v>21</v>
      </c>
      <c r="C328" t="s">
        <v>62</v>
      </c>
      <c r="D328" t="s">
        <v>14</v>
      </c>
      <c r="E328" t="s">
        <v>77</v>
      </c>
      <c r="F328" t="s">
        <v>9</v>
      </c>
      <c r="G328" s="15">
        <v>71.59</v>
      </c>
      <c r="H328" t="s">
        <v>26</v>
      </c>
      <c r="I328">
        <v>2</v>
      </c>
      <c r="J328" t="s">
        <v>47</v>
      </c>
      <c r="K328" t="s">
        <v>45</v>
      </c>
      <c r="L328" t="s">
        <v>45</v>
      </c>
      <c r="M328" t="s">
        <v>78</v>
      </c>
      <c r="N328" s="15">
        <v>70.66</v>
      </c>
      <c r="O328" s="16">
        <v>1.3</v>
      </c>
      <c r="P328">
        <v>0</v>
      </c>
    </row>
    <row r="329" spans="1:16" x14ac:dyDescent="0.3">
      <c r="A329" t="s">
        <v>60</v>
      </c>
      <c r="B329" t="s">
        <v>19</v>
      </c>
      <c r="C329" t="s">
        <v>19</v>
      </c>
      <c r="D329" t="s">
        <v>8</v>
      </c>
      <c r="E329" t="s">
        <v>74</v>
      </c>
      <c r="F329" t="s">
        <v>9</v>
      </c>
      <c r="G329" s="15">
        <v>96.91</v>
      </c>
      <c r="H329" t="s">
        <v>26</v>
      </c>
      <c r="I329">
        <v>2</v>
      </c>
      <c r="J329" t="s">
        <v>48</v>
      </c>
      <c r="K329" t="s">
        <v>45</v>
      </c>
      <c r="L329" t="s">
        <v>45</v>
      </c>
      <c r="M329" t="s">
        <v>67</v>
      </c>
      <c r="N329" s="15">
        <v>78.260000000000005</v>
      </c>
      <c r="O329" s="16">
        <v>23.8</v>
      </c>
      <c r="P329">
        <v>1</v>
      </c>
    </row>
    <row r="330" spans="1:16" x14ac:dyDescent="0.3">
      <c r="A330" t="s">
        <v>57</v>
      </c>
      <c r="B330" t="s">
        <v>17</v>
      </c>
      <c r="C330" t="s">
        <v>17</v>
      </c>
      <c r="D330" t="s">
        <v>14</v>
      </c>
      <c r="E330" t="s">
        <v>63</v>
      </c>
      <c r="F330" t="s">
        <v>9</v>
      </c>
      <c r="G330" s="15">
        <v>50</v>
      </c>
      <c r="H330" t="s">
        <v>27</v>
      </c>
      <c r="I330">
        <v>3</v>
      </c>
      <c r="J330" t="s">
        <v>48</v>
      </c>
      <c r="K330" t="s">
        <v>46</v>
      </c>
      <c r="L330" t="s">
        <v>45</v>
      </c>
      <c r="M330" t="s">
        <v>72</v>
      </c>
      <c r="N330" s="15">
        <v>65.16</v>
      </c>
      <c r="O330" s="16">
        <v>-23.3</v>
      </c>
      <c r="P330">
        <v>0</v>
      </c>
    </row>
    <row r="331" spans="1:16" x14ac:dyDescent="0.3">
      <c r="A331" t="s">
        <v>65</v>
      </c>
      <c r="B331" t="s">
        <v>22</v>
      </c>
      <c r="C331" t="s">
        <v>22</v>
      </c>
      <c r="D331" t="s">
        <v>15</v>
      </c>
      <c r="E331" t="s">
        <v>75</v>
      </c>
      <c r="F331" t="s">
        <v>9</v>
      </c>
      <c r="G331" s="15">
        <v>140</v>
      </c>
      <c r="H331" t="s">
        <v>25</v>
      </c>
      <c r="I331">
        <v>1</v>
      </c>
      <c r="J331" t="s">
        <v>44</v>
      </c>
      <c r="K331" t="s">
        <v>46</v>
      </c>
      <c r="L331" t="s">
        <v>45</v>
      </c>
      <c r="M331" t="s">
        <v>61</v>
      </c>
      <c r="N331" s="15">
        <v>126.9</v>
      </c>
      <c r="O331" s="16">
        <v>10.3</v>
      </c>
      <c r="P331">
        <v>0</v>
      </c>
    </row>
    <row r="332" spans="1:16" x14ac:dyDescent="0.3">
      <c r="A332" t="s">
        <v>57</v>
      </c>
      <c r="B332" t="s">
        <v>21</v>
      </c>
      <c r="C332" t="s">
        <v>62</v>
      </c>
      <c r="D332" t="s">
        <v>15</v>
      </c>
      <c r="E332" t="s">
        <v>76</v>
      </c>
      <c r="F332" t="s">
        <v>9</v>
      </c>
      <c r="G332" s="15">
        <v>125.45</v>
      </c>
      <c r="H332" t="s">
        <v>26</v>
      </c>
      <c r="I332">
        <v>2</v>
      </c>
      <c r="J332" t="s">
        <v>48</v>
      </c>
      <c r="K332" t="s">
        <v>45</v>
      </c>
      <c r="L332" t="s">
        <v>46</v>
      </c>
      <c r="M332" t="s">
        <v>61</v>
      </c>
      <c r="N332" s="15">
        <v>118.59</v>
      </c>
      <c r="O332" s="16">
        <v>5.8</v>
      </c>
      <c r="P332">
        <v>0</v>
      </c>
    </row>
    <row r="333" spans="1:16" x14ac:dyDescent="0.3">
      <c r="A333" t="s">
        <v>57</v>
      </c>
      <c r="B333" t="s">
        <v>19</v>
      </c>
      <c r="C333" t="s">
        <v>19</v>
      </c>
      <c r="D333" t="s">
        <v>10</v>
      </c>
      <c r="E333" t="s">
        <v>58</v>
      </c>
      <c r="F333" t="s">
        <v>9</v>
      </c>
      <c r="G333" s="15">
        <v>112.67</v>
      </c>
      <c r="H333" t="s">
        <v>27</v>
      </c>
      <c r="I333">
        <v>3</v>
      </c>
      <c r="J333" t="s">
        <v>47</v>
      </c>
      <c r="K333" t="s">
        <v>46</v>
      </c>
      <c r="L333" t="s">
        <v>45</v>
      </c>
      <c r="M333" t="s">
        <v>68</v>
      </c>
      <c r="N333" s="15">
        <v>151.19</v>
      </c>
      <c r="O333" s="16">
        <v>-25.5</v>
      </c>
      <c r="P333">
        <v>0</v>
      </c>
    </row>
    <row r="334" spans="1:16" x14ac:dyDescent="0.3">
      <c r="A334" t="s">
        <v>65</v>
      </c>
      <c r="B334" t="s">
        <v>20</v>
      </c>
      <c r="C334" t="s">
        <v>20</v>
      </c>
      <c r="D334" t="s">
        <v>8</v>
      </c>
      <c r="E334" t="s">
        <v>73</v>
      </c>
      <c r="F334" t="s">
        <v>9</v>
      </c>
      <c r="G334" s="15">
        <v>88.57</v>
      </c>
      <c r="H334" t="s">
        <v>26</v>
      </c>
      <c r="I334">
        <v>2</v>
      </c>
      <c r="J334" t="s">
        <v>47</v>
      </c>
      <c r="K334" t="s">
        <v>45</v>
      </c>
      <c r="L334" t="s">
        <v>45</v>
      </c>
      <c r="M334" t="s">
        <v>68</v>
      </c>
      <c r="N334" s="15">
        <v>88.05</v>
      </c>
      <c r="O334" s="16">
        <v>0.6</v>
      </c>
      <c r="P334">
        <v>0</v>
      </c>
    </row>
    <row r="335" spans="1:16" x14ac:dyDescent="0.3">
      <c r="A335" t="s">
        <v>57</v>
      </c>
      <c r="B335" t="s">
        <v>17</v>
      </c>
      <c r="C335" t="s">
        <v>17</v>
      </c>
      <c r="D335" t="s">
        <v>8</v>
      </c>
      <c r="E335" t="s">
        <v>74</v>
      </c>
      <c r="F335" t="s">
        <v>9</v>
      </c>
      <c r="G335" s="15">
        <v>78.900000000000006</v>
      </c>
      <c r="H335" t="s">
        <v>26</v>
      </c>
      <c r="I335">
        <v>2</v>
      </c>
      <c r="J335" t="s">
        <v>48</v>
      </c>
      <c r="K335" t="s">
        <v>45</v>
      </c>
      <c r="L335" t="s">
        <v>45</v>
      </c>
      <c r="M335" t="s">
        <v>59</v>
      </c>
      <c r="N335" s="15">
        <v>83.41</v>
      </c>
      <c r="O335" s="16">
        <v>-5.4</v>
      </c>
      <c r="P335">
        <v>0</v>
      </c>
    </row>
    <row r="336" spans="1:16" x14ac:dyDescent="0.3">
      <c r="A336" t="s">
        <v>60</v>
      </c>
      <c r="B336" t="s">
        <v>21</v>
      </c>
      <c r="C336" t="s">
        <v>62</v>
      </c>
      <c r="D336" t="s">
        <v>14</v>
      </c>
      <c r="E336" t="s">
        <v>71</v>
      </c>
      <c r="F336" t="s">
        <v>9</v>
      </c>
      <c r="G336" s="15">
        <v>80</v>
      </c>
      <c r="H336" t="s">
        <v>25</v>
      </c>
      <c r="I336">
        <v>1</v>
      </c>
      <c r="J336" t="s">
        <v>47</v>
      </c>
      <c r="K336" t="s">
        <v>45</v>
      </c>
      <c r="L336" t="s">
        <v>45</v>
      </c>
      <c r="M336" t="s">
        <v>61</v>
      </c>
      <c r="N336" s="15">
        <v>65.239999999999995</v>
      </c>
      <c r="O336" s="16">
        <v>22.6</v>
      </c>
      <c r="P336">
        <v>1</v>
      </c>
    </row>
    <row r="337" spans="1:16" x14ac:dyDescent="0.3">
      <c r="A337" t="s">
        <v>57</v>
      </c>
      <c r="B337" t="s">
        <v>17</v>
      </c>
      <c r="C337" t="s">
        <v>17</v>
      </c>
      <c r="D337" t="s">
        <v>12</v>
      </c>
      <c r="E337" t="s">
        <v>66</v>
      </c>
      <c r="F337" t="s">
        <v>13</v>
      </c>
      <c r="G337" s="15">
        <v>171.66</v>
      </c>
      <c r="H337" t="s">
        <v>27</v>
      </c>
      <c r="I337">
        <v>3</v>
      </c>
      <c r="J337" t="s">
        <v>48</v>
      </c>
      <c r="K337" t="s">
        <v>45</v>
      </c>
      <c r="L337" t="s">
        <v>45</v>
      </c>
      <c r="M337" t="s">
        <v>78</v>
      </c>
      <c r="N337" s="15">
        <v>170.56</v>
      </c>
      <c r="O337" s="16">
        <v>0.6</v>
      </c>
      <c r="P337">
        <v>0</v>
      </c>
    </row>
    <row r="338" spans="1:16" x14ac:dyDescent="0.3">
      <c r="A338" t="s">
        <v>65</v>
      </c>
      <c r="B338" t="s">
        <v>21</v>
      </c>
      <c r="C338" t="s">
        <v>62</v>
      </c>
      <c r="D338" t="s">
        <v>10</v>
      </c>
      <c r="E338" t="s">
        <v>58</v>
      </c>
      <c r="F338" t="s">
        <v>9</v>
      </c>
      <c r="G338" s="15">
        <v>170.63</v>
      </c>
      <c r="H338" t="s">
        <v>25</v>
      </c>
      <c r="I338">
        <v>1</v>
      </c>
      <c r="J338" t="s">
        <v>44</v>
      </c>
      <c r="K338" t="s">
        <v>45</v>
      </c>
      <c r="L338" t="s">
        <v>46</v>
      </c>
      <c r="M338" t="s">
        <v>64</v>
      </c>
      <c r="N338" s="15">
        <v>166.29</v>
      </c>
      <c r="O338" s="16">
        <v>2.6</v>
      </c>
      <c r="P338">
        <v>0</v>
      </c>
    </row>
    <row r="339" spans="1:16" x14ac:dyDescent="0.3">
      <c r="A339" t="s">
        <v>60</v>
      </c>
      <c r="B339" t="s">
        <v>22</v>
      </c>
      <c r="C339" t="s">
        <v>22</v>
      </c>
      <c r="D339" t="s">
        <v>15</v>
      </c>
      <c r="E339" t="s">
        <v>76</v>
      </c>
      <c r="F339" t="s">
        <v>9</v>
      </c>
      <c r="G339" s="15">
        <v>118.21</v>
      </c>
      <c r="H339" t="s">
        <v>26</v>
      </c>
      <c r="I339">
        <v>2</v>
      </c>
      <c r="J339" t="s">
        <v>48</v>
      </c>
      <c r="K339" t="s">
        <v>45</v>
      </c>
      <c r="L339" t="s">
        <v>45</v>
      </c>
      <c r="M339" t="s">
        <v>78</v>
      </c>
      <c r="N339" s="15">
        <v>116.32</v>
      </c>
      <c r="O339" s="16">
        <v>1.6</v>
      </c>
      <c r="P339">
        <v>0</v>
      </c>
    </row>
    <row r="340" spans="1:16" x14ac:dyDescent="0.3">
      <c r="A340" t="s">
        <v>65</v>
      </c>
      <c r="B340" t="s">
        <v>19</v>
      </c>
      <c r="C340" t="s">
        <v>19</v>
      </c>
      <c r="D340" t="s">
        <v>14</v>
      </c>
      <c r="E340" t="s">
        <v>71</v>
      </c>
      <c r="F340" t="s">
        <v>9</v>
      </c>
      <c r="G340" s="15">
        <v>52.33</v>
      </c>
      <c r="H340" t="s">
        <v>27</v>
      </c>
      <c r="I340">
        <v>3</v>
      </c>
      <c r="J340" t="s">
        <v>48</v>
      </c>
      <c r="K340" t="s">
        <v>46</v>
      </c>
      <c r="L340" t="s">
        <v>45</v>
      </c>
      <c r="M340" t="s">
        <v>61</v>
      </c>
      <c r="N340" s="15">
        <v>71.77</v>
      </c>
      <c r="O340" s="16">
        <v>-27.1</v>
      </c>
      <c r="P340">
        <v>0</v>
      </c>
    </row>
    <row r="341" spans="1:16" x14ac:dyDescent="0.3">
      <c r="A341" t="s">
        <v>57</v>
      </c>
      <c r="B341" t="s">
        <v>18</v>
      </c>
      <c r="C341" t="s">
        <v>18</v>
      </c>
      <c r="D341" t="s">
        <v>12</v>
      </c>
      <c r="E341" t="s">
        <v>66</v>
      </c>
      <c r="F341" t="s">
        <v>13</v>
      </c>
      <c r="G341" s="15">
        <v>167.75</v>
      </c>
      <c r="H341" t="s">
        <v>25</v>
      </c>
      <c r="I341">
        <v>1</v>
      </c>
      <c r="J341" t="s">
        <v>48</v>
      </c>
      <c r="K341" t="s">
        <v>45</v>
      </c>
      <c r="L341" t="s">
        <v>45</v>
      </c>
      <c r="M341" t="s">
        <v>59</v>
      </c>
      <c r="N341" s="15">
        <v>170.56</v>
      </c>
      <c r="O341" s="16">
        <v>-1.6</v>
      </c>
      <c r="P341">
        <v>0</v>
      </c>
    </row>
    <row r="342" spans="1:16" x14ac:dyDescent="0.3">
      <c r="A342" t="s">
        <v>57</v>
      </c>
      <c r="B342" t="s">
        <v>17</v>
      </c>
      <c r="C342" t="s">
        <v>17</v>
      </c>
      <c r="D342" t="s">
        <v>10</v>
      </c>
      <c r="E342" t="s">
        <v>58</v>
      </c>
      <c r="F342" t="s">
        <v>9</v>
      </c>
      <c r="G342" s="15">
        <v>177.56</v>
      </c>
      <c r="H342" t="s">
        <v>27</v>
      </c>
      <c r="I342">
        <v>3</v>
      </c>
      <c r="J342" t="s">
        <v>47</v>
      </c>
      <c r="K342" t="s">
        <v>45</v>
      </c>
      <c r="L342" t="s">
        <v>46</v>
      </c>
      <c r="M342" t="s">
        <v>72</v>
      </c>
      <c r="N342" s="15">
        <v>151.19</v>
      </c>
      <c r="O342" s="16">
        <v>17.399999999999999</v>
      </c>
      <c r="P342">
        <v>1</v>
      </c>
    </row>
    <row r="343" spans="1:16" x14ac:dyDescent="0.3">
      <c r="A343" t="s">
        <v>60</v>
      </c>
      <c r="B343" t="s">
        <v>20</v>
      </c>
      <c r="C343" t="s">
        <v>20</v>
      </c>
      <c r="D343" t="s">
        <v>12</v>
      </c>
      <c r="E343" t="s">
        <v>66</v>
      </c>
      <c r="F343" t="s">
        <v>13</v>
      </c>
      <c r="G343" s="15">
        <v>200</v>
      </c>
      <c r="H343" t="s">
        <v>25</v>
      </c>
      <c r="I343">
        <v>1</v>
      </c>
      <c r="J343" t="s">
        <v>47</v>
      </c>
      <c r="K343" t="s">
        <v>45</v>
      </c>
      <c r="L343" t="s">
        <v>45</v>
      </c>
      <c r="M343" t="s">
        <v>59</v>
      </c>
      <c r="N343" s="15">
        <v>168.34</v>
      </c>
      <c r="O343" s="16">
        <v>18.8</v>
      </c>
      <c r="P343">
        <v>1</v>
      </c>
    </row>
    <row r="344" spans="1:16" x14ac:dyDescent="0.3">
      <c r="A344" t="s">
        <v>65</v>
      </c>
      <c r="B344" t="s">
        <v>18</v>
      </c>
      <c r="C344" t="s">
        <v>18</v>
      </c>
      <c r="D344" t="s">
        <v>11</v>
      </c>
      <c r="E344" t="s">
        <v>79</v>
      </c>
      <c r="F344" t="s">
        <v>9</v>
      </c>
      <c r="G344" s="15">
        <v>39.6</v>
      </c>
      <c r="H344" t="s">
        <v>26</v>
      </c>
      <c r="I344">
        <v>2</v>
      </c>
      <c r="J344" t="s">
        <v>47</v>
      </c>
      <c r="K344" t="s">
        <v>46</v>
      </c>
      <c r="L344" t="s">
        <v>45</v>
      </c>
      <c r="M344" t="s">
        <v>64</v>
      </c>
      <c r="N344" s="15">
        <v>33.39</v>
      </c>
      <c r="O344" s="16">
        <v>18.600000000000001</v>
      </c>
      <c r="P344">
        <v>1</v>
      </c>
    </row>
    <row r="345" spans="1:16" x14ac:dyDescent="0.3">
      <c r="A345" t="s">
        <v>65</v>
      </c>
      <c r="B345" t="s">
        <v>22</v>
      </c>
      <c r="C345" t="s">
        <v>22</v>
      </c>
      <c r="D345" t="s">
        <v>15</v>
      </c>
      <c r="E345" t="s">
        <v>76</v>
      </c>
      <c r="F345" t="s">
        <v>9</v>
      </c>
      <c r="G345" s="15">
        <v>140</v>
      </c>
      <c r="H345" t="s">
        <v>26</v>
      </c>
      <c r="I345">
        <v>2</v>
      </c>
      <c r="J345" t="s">
        <v>47</v>
      </c>
      <c r="K345" t="s">
        <v>45</v>
      </c>
      <c r="L345" t="s">
        <v>45</v>
      </c>
      <c r="M345" t="s">
        <v>67</v>
      </c>
      <c r="N345" s="15">
        <v>126.51</v>
      </c>
      <c r="O345" s="16">
        <v>10.7</v>
      </c>
      <c r="P345">
        <v>0</v>
      </c>
    </row>
    <row r="346" spans="1:16" x14ac:dyDescent="0.3">
      <c r="A346" t="s">
        <v>65</v>
      </c>
      <c r="B346" t="s">
        <v>18</v>
      </c>
      <c r="C346" t="s">
        <v>18</v>
      </c>
      <c r="D346" t="s">
        <v>10</v>
      </c>
      <c r="E346" t="s">
        <v>58</v>
      </c>
      <c r="F346" t="s">
        <v>9</v>
      </c>
      <c r="G346" s="15">
        <v>166.71</v>
      </c>
      <c r="H346" t="s">
        <v>25</v>
      </c>
      <c r="I346">
        <v>1</v>
      </c>
      <c r="J346" t="s">
        <v>47</v>
      </c>
      <c r="K346" t="s">
        <v>45</v>
      </c>
      <c r="L346" t="s">
        <v>45</v>
      </c>
      <c r="M346" t="s">
        <v>61</v>
      </c>
      <c r="N346" s="15">
        <v>166.29</v>
      </c>
      <c r="O346" s="16">
        <v>0.3</v>
      </c>
      <c r="P346">
        <v>0</v>
      </c>
    </row>
    <row r="347" spans="1:16" x14ac:dyDescent="0.3">
      <c r="A347" t="s">
        <v>65</v>
      </c>
      <c r="B347" t="s">
        <v>21</v>
      </c>
      <c r="C347" t="s">
        <v>62</v>
      </c>
      <c r="D347" t="s">
        <v>14</v>
      </c>
      <c r="E347" t="s">
        <v>71</v>
      </c>
      <c r="F347" t="s">
        <v>9</v>
      </c>
      <c r="G347" s="15">
        <v>80</v>
      </c>
      <c r="H347" t="s">
        <v>26</v>
      </c>
      <c r="I347">
        <v>2</v>
      </c>
      <c r="J347" t="s">
        <v>44</v>
      </c>
      <c r="K347" t="s">
        <v>45</v>
      </c>
      <c r="L347" t="s">
        <v>45</v>
      </c>
      <c r="M347" t="s">
        <v>59</v>
      </c>
      <c r="N347" s="15">
        <v>71.77</v>
      </c>
      <c r="O347" s="16">
        <v>11.5</v>
      </c>
      <c r="P347">
        <v>0</v>
      </c>
    </row>
    <row r="348" spans="1:16" x14ac:dyDescent="0.3">
      <c r="A348" t="s">
        <v>65</v>
      </c>
      <c r="B348" t="s">
        <v>17</v>
      </c>
      <c r="C348" t="s">
        <v>17</v>
      </c>
      <c r="D348" t="s">
        <v>15</v>
      </c>
      <c r="E348" t="s">
        <v>76</v>
      </c>
      <c r="F348" t="s">
        <v>9</v>
      </c>
      <c r="G348" s="15">
        <v>129.94</v>
      </c>
      <c r="H348" t="s">
        <v>26</v>
      </c>
      <c r="I348">
        <v>2</v>
      </c>
      <c r="J348" t="s">
        <v>47</v>
      </c>
      <c r="K348" t="s">
        <v>45</v>
      </c>
      <c r="L348" t="s">
        <v>45</v>
      </c>
      <c r="M348" t="s">
        <v>78</v>
      </c>
      <c r="N348" s="15">
        <v>126.51</v>
      </c>
      <c r="O348" s="16">
        <v>2.7</v>
      </c>
      <c r="P348">
        <v>0</v>
      </c>
    </row>
    <row r="349" spans="1:16" x14ac:dyDescent="0.3">
      <c r="A349" t="s">
        <v>60</v>
      </c>
      <c r="B349" t="s">
        <v>18</v>
      </c>
      <c r="C349" t="s">
        <v>18</v>
      </c>
      <c r="D349" t="s">
        <v>8</v>
      </c>
      <c r="E349" t="s">
        <v>74</v>
      </c>
      <c r="F349" t="s">
        <v>9</v>
      </c>
      <c r="G349" s="15">
        <v>84.43</v>
      </c>
      <c r="H349" t="s">
        <v>27</v>
      </c>
      <c r="I349">
        <v>3</v>
      </c>
      <c r="J349" t="s">
        <v>48</v>
      </c>
      <c r="K349" t="s">
        <v>45</v>
      </c>
      <c r="L349" t="s">
        <v>45</v>
      </c>
      <c r="M349" t="s">
        <v>67</v>
      </c>
      <c r="N349" s="15">
        <v>78.260000000000005</v>
      </c>
      <c r="O349" s="16">
        <v>7.9</v>
      </c>
      <c r="P349">
        <v>0</v>
      </c>
    </row>
    <row r="350" spans="1:16" x14ac:dyDescent="0.3">
      <c r="A350" t="s">
        <v>57</v>
      </c>
      <c r="B350" t="s">
        <v>18</v>
      </c>
      <c r="C350" t="s">
        <v>18</v>
      </c>
      <c r="D350" t="s">
        <v>14</v>
      </c>
      <c r="E350" t="s">
        <v>77</v>
      </c>
      <c r="F350" t="s">
        <v>9</v>
      </c>
      <c r="G350" s="15">
        <v>63.63</v>
      </c>
      <c r="H350" t="s">
        <v>26</v>
      </c>
      <c r="I350">
        <v>2</v>
      </c>
      <c r="J350" t="s">
        <v>48</v>
      </c>
      <c r="K350" t="s">
        <v>46</v>
      </c>
      <c r="L350" t="s">
        <v>45</v>
      </c>
      <c r="M350" t="s">
        <v>67</v>
      </c>
      <c r="N350" s="15">
        <v>65.97</v>
      </c>
      <c r="O350" s="16">
        <v>-3.5</v>
      </c>
      <c r="P350">
        <v>0</v>
      </c>
    </row>
    <row r="351" spans="1:16" x14ac:dyDescent="0.3">
      <c r="A351" t="s">
        <v>65</v>
      </c>
      <c r="B351" t="s">
        <v>22</v>
      </c>
      <c r="C351" t="s">
        <v>22</v>
      </c>
      <c r="D351" t="s">
        <v>10</v>
      </c>
      <c r="E351" t="s">
        <v>69</v>
      </c>
      <c r="F351" t="s">
        <v>9</v>
      </c>
      <c r="G351" s="15">
        <v>200</v>
      </c>
      <c r="H351" t="s">
        <v>25</v>
      </c>
      <c r="I351">
        <v>1</v>
      </c>
      <c r="J351" t="s">
        <v>48</v>
      </c>
      <c r="K351" t="s">
        <v>45</v>
      </c>
      <c r="L351" t="s">
        <v>46</v>
      </c>
      <c r="M351" t="s">
        <v>68</v>
      </c>
      <c r="N351" s="15">
        <v>158.91999999999999</v>
      </c>
      <c r="O351" s="16">
        <v>25.8</v>
      </c>
      <c r="P351">
        <v>1</v>
      </c>
    </row>
    <row r="352" spans="1:16" x14ac:dyDescent="0.3">
      <c r="A352" t="s">
        <v>65</v>
      </c>
      <c r="B352" t="s">
        <v>22</v>
      </c>
      <c r="C352" t="s">
        <v>22</v>
      </c>
      <c r="D352" t="s">
        <v>15</v>
      </c>
      <c r="E352" t="s">
        <v>75</v>
      </c>
      <c r="F352" t="s">
        <v>9</v>
      </c>
      <c r="G352" s="15">
        <v>140</v>
      </c>
      <c r="H352" t="s">
        <v>25</v>
      </c>
      <c r="I352">
        <v>1</v>
      </c>
      <c r="J352" t="s">
        <v>48</v>
      </c>
      <c r="K352" t="s">
        <v>46</v>
      </c>
      <c r="L352" t="s">
        <v>46</v>
      </c>
      <c r="M352" t="s">
        <v>72</v>
      </c>
      <c r="N352" s="15">
        <v>126.9</v>
      </c>
      <c r="O352" s="16">
        <v>10.3</v>
      </c>
      <c r="P352">
        <v>0</v>
      </c>
    </row>
    <row r="353" spans="1:16" x14ac:dyDescent="0.3">
      <c r="A353" t="s">
        <v>57</v>
      </c>
      <c r="B353" t="s">
        <v>21</v>
      </c>
      <c r="C353" t="s">
        <v>62</v>
      </c>
      <c r="D353" t="s">
        <v>15</v>
      </c>
      <c r="E353" t="s">
        <v>76</v>
      </c>
      <c r="F353" t="s">
        <v>9</v>
      </c>
      <c r="G353" s="15">
        <v>117.37</v>
      </c>
      <c r="H353" t="s">
        <v>27</v>
      </c>
      <c r="I353">
        <v>3</v>
      </c>
      <c r="J353" t="s">
        <v>48</v>
      </c>
      <c r="K353" t="s">
        <v>45</v>
      </c>
      <c r="L353" t="s">
        <v>45</v>
      </c>
      <c r="M353" t="s">
        <v>59</v>
      </c>
      <c r="N353" s="15">
        <v>118.59</v>
      </c>
      <c r="O353" s="16">
        <v>-1</v>
      </c>
      <c r="P353">
        <v>0</v>
      </c>
    </row>
    <row r="354" spans="1:16" x14ac:dyDescent="0.3">
      <c r="A354" t="s">
        <v>65</v>
      </c>
      <c r="B354" t="s">
        <v>22</v>
      </c>
      <c r="C354" t="s">
        <v>22</v>
      </c>
      <c r="D354" t="s">
        <v>15</v>
      </c>
      <c r="E354" t="s">
        <v>75</v>
      </c>
      <c r="F354" t="s">
        <v>9</v>
      </c>
      <c r="G354" s="15">
        <v>125.45</v>
      </c>
      <c r="H354" t="s">
        <v>26</v>
      </c>
      <c r="I354">
        <v>2</v>
      </c>
      <c r="J354" t="s">
        <v>47</v>
      </c>
      <c r="K354" t="s">
        <v>45</v>
      </c>
      <c r="L354" t="s">
        <v>46</v>
      </c>
      <c r="M354" t="s">
        <v>67</v>
      </c>
      <c r="N354" s="15">
        <v>126.9</v>
      </c>
      <c r="O354" s="16">
        <v>-1.1000000000000001</v>
      </c>
      <c r="P354">
        <v>0</v>
      </c>
    </row>
    <row r="355" spans="1:16" x14ac:dyDescent="0.3">
      <c r="A355" t="s">
        <v>57</v>
      </c>
      <c r="B355" t="s">
        <v>20</v>
      </c>
      <c r="C355" t="s">
        <v>20</v>
      </c>
      <c r="D355" t="s">
        <v>14</v>
      </c>
      <c r="E355" t="s">
        <v>77</v>
      </c>
      <c r="F355" t="s">
        <v>9</v>
      </c>
      <c r="G355" s="15">
        <v>65.97</v>
      </c>
      <c r="H355" t="s">
        <v>26</v>
      </c>
      <c r="I355">
        <v>2</v>
      </c>
      <c r="J355" t="s">
        <v>48</v>
      </c>
      <c r="K355" t="s">
        <v>45</v>
      </c>
      <c r="L355" t="s">
        <v>45</v>
      </c>
      <c r="M355" t="s">
        <v>64</v>
      </c>
      <c r="N355" s="15">
        <v>65.97</v>
      </c>
      <c r="O355" s="16">
        <v>0</v>
      </c>
      <c r="P355">
        <v>0</v>
      </c>
    </row>
    <row r="356" spans="1:16" x14ac:dyDescent="0.3">
      <c r="A356" t="s">
        <v>57</v>
      </c>
      <c r="B356" t="s">
        <v>21</v>
      </c>
      <c r="C356" t="s">
        <v>62</v>
      </c>
      <c r="D356" t="s">
        <v>15</v>
      </c>
      <c r="E356" t="s">
        <v>75</v>
      </c>
      <c r="F356" t="s">
        <v>9</v>
      </c>
      <c r="G356" s="15">
        <v>104.9</v>
      </c>
      <c r="H356" t="s">
        <v>27</v>
      </c>
      <c r="I356">
        <v>3</v>
      </c>
      <c r="J356" t="s">
        <v>48</v>
      </c>
      <c r="K356" t="s">
        <v>46</v>
      </c>
      <c r="L356" t="s">
        <v>45</v>
      </c>
      <c r="M356" t="s">
        <v>61</v>
      </c>
      <c r="N356" s="15">
        <v>120.06</v>
      </c>
      <c r="O356" s="16">
        <v>-12.6</v>
      </c>
      <c r="P356">
        <v>0</v>
      </c>
    </row>
    <row r="357" spans="1:16" x14ac:dyDescent="0.3">
      <c r="A357" t="s">
        <v>60</v>
      </c>
      <c r="B357" t="s">
        <v>20</v>
      </c>
      <c r="C357" t="s">
        <v>20</v>
      </c>
      <c r="D357" t="s">
        <v>15</v>
      </c>
      <c r="E357" t="s">
        <v>76</v>
      </c>
      <c r="F357" t="s">
        <v>9</v>
      </c>
      <c r="G357" s="15">
        <v>113.15</v>
      </c>
      <c r="H357" t="s">
        <v>27</v>
      </c>
      <c r="I357">
        <v>3</v>
      </c>
      <c r="J357" t="s">
        <v>48</v>
      </c>
      <c r="K357" t="s">
        <v>45</v>
      </c>
      <c r="L357" t="s">
        <v>45</v>
      </c>
      <c r="M357" t="s">
        <v>61</v>
      </c>
      <c r="N357" s="15">
        <v>116.32</v>
      </c>
      <c r="O357" s="16">
        <v>-2.7</v>
      </c>
      <c r="P357">
        <v>0</v>
      </c>
    </row>
    <row r="358" spans="1:16" x14ac:dyDescent="0.3">
      <c r="A358" t="s">
        <v>65</v>
      </c>
      <c r="B358" t="s">
        <v>21</v>
      </c>
      <c r="C358" t="s">
        <v>62</v>
      </c>
      <c r="D358" t="s">
        <v>11</v>
      </c>
      <c r="E358" t="s">
        <v>70</v>
      </c>
      <c r="F358" t="s">
        <v>9</v>
      </c>
      <c r="G358" s="15">
        <v>35.29</v>
      </c>
      <c r="H358" t="s">
        <v>26</v>
      </c>
      <c r="I358">
        <v>2</v>
      </c>
      <c r="J358" t="s">
        <v>47</v>
      </c>
      <c r="K358" t="s">
        <v>45</v>
      </c>
      <c r="L358" t="s">
        <v>45</v>
      </c>
      <c r="M358" t="s">
        <v>61</v>
      </c>
      <c r="N358" s="15">
        <v>32.630000000000003</v>
      </c>
      <c r="O358" s="16">
        <v>8.1999999999999993</v>
      </c>
      <c r="P358">
        <v>0</v>
      </c>
    </row>
    <row r="359" spans="1:16" x14ac:dyDescent="0.3">
      <c r="A359" t="s">
        <v>65</v>
      </c>
      <c r="B359" t="s">
        <v>20</v>
      </c>
      <c r="C359" t="s">
        <v>20</v>
      </c>
      <c r="D359" t="s">
        <v>15</v>
      </c>
      <c r="E359" t="s">
        <v>75</v>
      </c>
      <c r="F359" t="s">
        <v>9</v>
      </c>
      <c r="G359" s="15">
        <v>123.64</v>
      </c>
      <c r="H359" t="s">
        <v>25</v>
      </c>
      <c r="I359">
        <v>1</v>
      </c>
      <c r="J359" t="s">
        <v>47</v>
      </c>
      <c r="K359" t="s">
        <v>45</v>
      </c>
      <c r="L359" t="s">
        <v>45</v>
      </c>
      <c r="M359" t="s">
        <v>64</v>
      </c>
      <c r="N359" s="15">
        <v>126.9</v>
      </c>
      <c r="O359" s="16">
        <v>-2.6</v>
      </c>
      <c r="P359">
        <v>0</v>
      </c>
    </row>
    <row r="360" spans="1:16" x14ac:dyDescent="0.3">
      <c r="A360" t="s">
        <v>65</v>
      </c>
      <c r="B360" t="s">
        <v>21</v>
      </c>
      <c r="C360" t="s">
        <v>62</v>
      </c>
      <c r="D360" t="s">
        <v>15</v>
      </c>
      <c r="E360" t="s">
        <v>76</v>
      </c>
      <c r="F360" t="s">
        <v>9</v>
      </c>
      <c r="G360" s="15">
        <v>129.86000000000001</v>
      </c>
      <c r="H360" t="s">
        <v>26</v>
      </c>
      <c r="I360">
        <v>2</v>
      </c>
      <c r="J360" t="s">
        <v>47</v>
      </c>
      <c r="K360" t="s">
        <v>45</v>
      </c>
      <c r="L360" t="s">
        <v>45</v>
      </c>
      <c r="M360" t="s">
        <v>68</v>
      </c>
      <c r="N360" s="15">
        <v>126.51</v>
      </c>
      <c r="O360" s="16">
        <v>2.6</v>
      </c>
      <c r="P360">
        <v>0</v>
      </c>
    </row>
    <row r="361" spans="1:16" x14ac:dyDescent="0.3">
      <c r="A361" t="s">
        <v>57</v>
      </c>
      <c r="B361" t="s">
        <v>17</v>
      </c>
      <c r="C361" t="s">
        <v>17</v>
      </c>
      <c r="D361" t="s">
        <v>8</v>
      </c>
      <c r="E361" t="s">
        <v>73</v>
      </c>
      <c r="F361" t="s">
        <v>9</v>
      </c>
      <c r="G361" s="15">
        <v>62.24</v>
      </c>
      <c r="H361" t="s">
        <v>27</v>
      </c>
      <c r="I361">
        <v>3</v>
      </c>
      <c r="J361" t="s">
        <v>48</v>
      </c>
      <c r="K361" t="s">
        <v>45</v>
      </c>
      <c r="L361" t="s">
        <v>45</v>
      </c>
      <c r="M361" t="s">
        <v>67</v>
      </c>
      <c r="N361" s="15">
        <v>86.06</v>
      </c>
      <c r="O361" s="16">
        <v>-27.7</v>
      </c>
      <c r="P361">
        <v>0</v>
      </c>
    </row>
    <row r="362" spans="1:16" x14ac:dyDescent="0.3">
      <c r="A362" t="s">
        <v>57</v>
      </c>
      <c r="B362" t="s">
        <v>22</v>
      </c>
      <c r="C362" t="s">
        <v>22</v>
      </c>
      <c r="D362" t="s">
        <v>11</v>
      </c>
      <c r="E362" t="s">
        <v>70</v>
      </c>
      <c r="F362" t="s">
        <v>9</v>
      </c>
      <c r="G362" s="15">
        <v>25.7</v>
      </c>
      <c r="H362" t="s">
        <v>26</v>
      </c>
      <c r="I362">
        <v>2</v>
      </c>
      <c r="J362" t="s">
        <v>48</v>
      </c>
      <c r="K362" t="s">
        <v>46</v>
      </c>
      <c r="L362" t="s">
        <v>45</v>
      </c>
      <c r="M362" t="s">
        <v>61</v>
      </c>
      <c r="N362" s="15">
        <v>30.5</v>
      </c>
      <c r="O362" s="16">
        <v>-15.7</v>
      </c>
      <c r="P362">
        <v>0</v>
      </c>
    </row>
    <row r="363" spans="1:16" x14ac:dyDescent="0.3">
      <c r="A363" t="s">
        <v>60</v>
      </c>
      <c r="B363" t="s">
        <v>21</v>
      </c>
      <c r="C363" t="s">
        <v>62</v>
      </c>
      <c r="D363" t="s">
        <v>10</v>
      </c>
      <c r="E363" t="s">
        <v>58</v>
      </c>
      <c r="F363" t="s">
        <v>9</v>
      </c>
      <c r="G363" s="15">
        <v>142.66999999999999</v>
      </c>
      <c r="H363" t="s">
        <v>25</v>
      </c>
      <c r="I363">
        <v>1</v>
      </c>
      <c r="J363" t="s">
        <v>48</v>
      </c>
      <c r="K363" t="s">
        <v>45</v>
      </c>
      <c r="L363" t="s">
        <v>45</v>
      </c>
      <c r="M363" t="s">
        <v>78</v>
      </c>
      <c r="N363" s="15">
        <v>152.03</v>
      </c>
      <c r="O363" s="16">
        <v>-6.2</v>
      </c>
      <c r="P363">
        <v>0</v>
      </c>
    </row>
    <row r="364" spans="1:16" x14ac:dyDescent="0.3">
      <c r="A364" t="s">
        <v>60</v>
      </c>
      <c r="B364" t="s">
        <v>19</v>
      </c>
      <c r="C364" t="s">
        <v>19</v>
      </c>
      <c r="D364" t="s">
        <v>12</v>
      </c>
      <c r="E364" t="s">
        <v>80</v>
      </c>
      <c r="F364" t="s">
        <v>13</v>
      </c>
      <c r="G364" s="15">
        <v>152.5</v>
      </c>
      <c r="H364" t="s">
        <v>27</v>
      </c>
      <c r="I364">
        <v>3</v>
      </c>
      <c r="J364" t="s">
        <v>47</v>
      </c>
      <c r="K364" t="s">
        <v>45</v>
      </c>
      <c r="L364" t="s">
        <v>46</v>
      </c>
      <c r="M364" t="s">
        <v>64</v>
      </c>
      <c r="N364" s="15">
        <v>167.63</v>
      </c>
      <c r="O364" s="16">
        <v>-9</v>
      </c>
      <c r="P364">
        <v>0</v>
      </c>
    </row>
    <row r="365" spans="1:16" x14ac:dyDescent="0.3">
      <c r="A365" t="s">
        <v>57</v>
      </c>
      <c r="B365" t="s">
        <v>22</v>
      </c>
      <c r="C365" t="s">
        <v>22</v>
      </c>
      <c r="D365" t="s">
        <v>12</v>
      </c>
      <c r="E365" t="s">
        <v>80</v>
      </c>
      <c r="F365" t="s">
        <v>13</v>
      </c>
      <c r="G365" s="15">
        <v>162.72999999999999</v>
      </c>
      <c r="H365" t="s">
        <v>25</v>
      </c>
      <c r="I365">
        <v>1</v>
      </c>
      <c r="J365" t="s">
        <v>48</v>
      </c>
      <c r="K365" t="s">
        <v>46</v>
      </c>
      <c r="L365" t="s">
        <v>45</v>
      </c>
      <c r="M365" t="s">
        <v>78</v>
      </c>
      <c r="N365" s="15">
        <v>162.72999999999999</v>
      </c>
      <c r="O365" s="16">
        <v>0</v>
      </c>
      <c r="P365">
        <v>0</v>
      </c>
    </row>
    <row r="366" spans="1:16" x14ac:dyDescent="0.3">
      <c r="A366" t="s">
        <v>60</v>
      </c>
      <c r="B366" t="s">
        <v>18</v>
      </c>
      <c r="C366" t="s">
        <v>18</v>
      </c>
      <c r="D366" t="s">
        <v>10</v>
      </c>
      <c r="E366" t="s">
        <v>58</v>
      </c>
      <c r="F366" t="s">
        <v>9</v>
      </c>
      <c r="G366" s="15">
        <v>186.77</v>
      </c>
      <c r="H366" t="s">
        <v>27</v>
      </c>
      <c r="I366">
        <v>3</v>
      </c>
      <c r="J366" t="s">
        <v>47</v>
      </c>
      <c r="K366" t="s">
        <v>45</v>
      </c>
      <c r="L366" t="s">
        <v>45</v>
      </c>
      <c r="M366" t="s">
        <v>59</v>
      </c>
      <c r="N366" s="15">
        <v>152.03</v>
      </c>
      <c r="O366" s="16">
        <v>22.9</v>
      </c>
      <c r="P366">
        <v>1</v>
      </c>
    </row>
    <row r="367" spans="1:16" x14ac:dyDescent="0.3">
      <c r="A367" t="s">
        <v>57</v>
      </c>
      <c r="B367" t="s">
        <v>18</v>
      </c>
      <c r="C367" t="s">
        <v>18</v>
      </c>
      <c r="D367" t="s">
        <v>15</v>
      </c>
      <c r="E367" t="s">
        <v>76</v>
      </c>
      <c r="F367" t="s">
        <v>9</v>
      </c>
      <c r="G367" s="15">
        <v>98.51</v>
      </c>
      <c r="H367" t="s">
        <v>26</v>
      </c>
      <c r="I367">
        <v>2</v>
      </c>
      <c r="J367" t="s">
        <v>47</v>
      </c>
      <c r="K367" t="s">
        <v>46</v>
      </c>
      <c r="L367" t="s">
        <v>45</v>
      </c>
      <c r="M367" t="s">
        <v>78</v>
      </c>
      <c r="N367" s="15">
        <v>118.59</v>
      </c>
      <c r="O367" s="16">
        <v>-16.899999999999999</v>
      </c>
      <c r="P367">
        <v>0</v>
      </c>
    </row>
    <row r="368" spans="1:16" x14ac:dyDescent="0.3">
      <c r="A368" t="s">
        <v>60</v>
      </c>
      <c r="B368" t="s">
        <v>22</v>
      </c>
      <c r="C368" t="s">
        <v>22</v>
      </c>
      <c r="D368" t="s">
        <v>14</v>
      </c>
      <c r="E368" t="s">
        <v>71</v>
      </c>
      <c r="F368" t="s">
        <v>9</v>
      </c>
      <c r="G368" s="15">
        <v>64.7</v>
      </c>
      <c r="H368" t="s">
        <v>26</v>
      </c>
      <c r="I368">
        <v>2</v>
      </c>
      <c r="J368" t="s">
        <v>47</v>
      </c>
      <c r="K368" t="s">
        <v>46</v>
      </c>
      <c r="L368" t="s">
        <v>45</v>
      </c>
      <c r="M368" t="s">
        <v>72</v>
      </c>
      <c r="N368" s="15">
        <v>65.239999999999995</v>
      </c>
      <c r="O368" s="16">
        <v>-0.8</v>
      </c>
      <c r="P368">
        <v>0</v>
      </c>
    </row>
    <row r="369" spans="1:16" x14ac:dyDescent="0.3">
      <c r="A369" t="s">
        <v>65</v>
      </c>
      <c r="B369" t="s">
        <v>17</v>
      </c>
      <c r="C369" t="s">
        <v>17</v>
      </c>
      <c r="D369" t="s">
        <v>11</v>
      </c>
      <c r="E369" t="s">
        <v>79</v>
      </c>
      <c r="F369" t="s">
        <v>9</v>
      </c>
      <c r="G369" s="15">
        <v>34.57</v>
      </c>
      <c r="H369" t="s">
        <v>26</v>
      </c>
      <c r="I369">
        <v>2</v>
      </c>
      <c r="J369" t="s">
        <v>44</v>
      </c>
      <c r="K369" t="s">
        <v>45</v>
      </c>
      <c r="L369" t="s">
        <v>46</v>
      </c>
      <c r="M369" t="s">
        <v>59</v>
      </c>
      <c r="N369" s="15">
        <v>33.39</v>
      </c>
      <c r="O369" s="16">
        <v>3.5</v>
      </c>
      <c r="P369">
        <v>0</v>
      </c>
    </row>
    <row r="370" spans="1:16" x14ac:dyDescent="0.3">
      <c r="A370" t="s">
        <v>60</v>
      </c>
      <c r="B370" t="s">
        <v>19</v>
      </c>
      <c r="C370" t="s">
        <v>19</v>
      </c>
      <c r="D370" t="s">
        <v>12</v>
      </c>
      <c r="E370" t="s">
        <v>66</v>
      </c>
      <c r="F370" t="s">
        <v>13</v>
      </c>
      <c r="G370" s="15">
        <v>170.13</v>
      </c>
      <c r="H370" t="s">
        <v>27</v>
      </c>
      <c r="I370">
        <v>3</v>
      </c>
      <c r="J370" t="s">
        <v>48</v>
      </c>
      <c r="K370" t="s">
        <v>45</v>
      </c>
      <c r="L370" t="s">
        <v>45</v>
      </c>
      <c r="M370" t="s">
        <v>61</v>
      </c>
      <c r="N370" s="15">
        <v>168.34</v>
      </c>
      <c r="O370" s="16">
        <v>1.1000000000000001</v>
      </c>
      <c r="P370">
        <v>0</v>
      </c>
    </row>
    <row r="371" spans="1:16" x14ac:dyDescent="0.3">
      <c r="A371" t="s">
        <v>57</v>
      </c>
      <c r="B371" t="s">
        <v>19</v>
      </c>
      <c r="C371" t="s">
        <v>19</v>
      </c>
      <c r="D371" t="s">
        <v>14</v>
      </c>
      <c r="E371" t="s">
        <v>63</v>
      </c>
      <c r="F371" t="s">
        <v>9</v>
      </c>
      <c r="G371" s="15">
        <v>71.11</v>
      </c>
      <c r="H371" t="s">
        <v>26</v>
      </c>
      <c r="I371">
        <v>2</v>
      </c>
      <c r="J371" t="s">
        <v>48</v>
      </c>
      <c r="K371" t="s">
        <v>45</v>
      </c>
      <c r="L371" t="s">
        <v>45</v>
      </c>
      <c r="M371" t="s">
        <v>68</v>
      </c>
      <c r="N371" s="15">
        <v>65.16</v>
      </c>
      <c r="O371" s="16">
        <v>9.1</v>
      </c>
      <c r="P371">
        <v>0</v>
      </c>
    </row>
    <row r="372" spans="1:16" x14ac:dyDescent="0.3">
      <c r="A372" t="s">
        <v>60</v>
      </c>
      <c r="B372" t="s">
        <v>20</v>
      </c>
      <c r="C372" t="s">
        <v>20</v>
      </c>
      <c r="D372" t="s">
        <v>8</v>
      </c>
      <c r="E372" t="s">
        <v>74</v>
      </c>
      <c r="F372" t="s">
        <v>9</v>
      </c>
      <c r="G372" s="15">
        <v>91.35</v>
      </c>
      <c r="H372" t="s">
        <v>25</v>
      </c>
      <c r="I372">
        <v>1</v>
      </c>
      <c r="J372" t="s">
        <v>47</v>
      </c>
      <c r="K372" t="s">
        <v>46</v>
      </c>
      <c r="L372" t="s">
        <v>45</v>
      </c>
      <c r="M372" t="s">
        <v>78</v>
      </c>
      <c r="N372" s="15">
        <v>78.260000000000005</v>
      </c>
      <c r="O372" s="16">
        <v>16.7</v>
      </c>
      <c r="P372">
        <v>1</v>
      </c>
    </row>
    <row r="373" spans="1:16" x14ac:dyDescent="0.3">
      <c r="A373" t="s">
        <v>60</v>
      </c>
      <c r="B373" t="s">
        <v>17</v>
      </c>
      <c r="C373" t="s">
        <v>17</v>
      </c>
      <c r="D373" t="s">
        <v>15</v>
      </c>
      <c r="E373" t="s">
        <v>75</v>
      </c>
      <c r="F373" t="s">
        <v>9</v>
      </c>
      <c r="G373" s="15">
        <v>119</v>
      </c>
      <c r="H373" t="s">
        <v>26</v>
      </c>
      <c r="I373">
        <v>2</v>
      </c>
      <c r="J373" t="s">
        <v>48</v>
      </c>
      <c r="K373" t="s">
        <v>45</v>
      </c>
      <c r="L373" t="s">
        <v>45</v>
      </c>
      <c r="M373" t="s">
        <v>72</v>
      </c>
      <c r="N373" s="15">
        <v>119</v>
      </c>
      <c r="O373" s="16">
        <v>0</v>
      </c>
      <c r="P373">
        <v>0</v>
      </c>
    </row>
    <row r="374" spans="1:16" x14ac:dyDescent="0.3">
      <c r="A374" t="s">
        <v>65</v>
      </c>
      <c r="B374" t="s">
        <v>21</v>
      </c>
      <c r="C374" t="s">
        <v>62</v>
      </c>
      <c r="D374" t="s">
        <v>8</v>
      </c>
      <c r="E374" t="s">
        <v>73</v>
      </c>
      <c r="F374" t="s">
        <v>9</v>
      </c>
      <c r="G374" s="15">
        <v>99.76</v>
      </c>
      <c r="H374" t="s">
        <v>26</v>
      </c>
      <c r="I374">
        <v>2</v>
      </c>
      <c r="J374" t="s">
        <v>47</v>
      </c>
      <c r="K374" t="s">
        <v>45</v>
      </c>
      <c r="L374" t="s">
        <v>45</v>
      </c>
      <c r="M374" t="s">
        <v>68</v>
      </c>
      <c r="N374" s="15">
        <v>88.05</v>
      </c>
      <c r="O374" s="16">
        <v>13.3</v>
      </c>
      <c r="P374">
        <v>0</v>
      </c>
    </row>
    <row r="375" spans="1:16" x14ac:dyDescent="0.3">
      <c r="A375" t="s">
        <v>57</v>
      </c>
      <c r="B375" t="s">
        <v>19</v>
      </c>
      <c r="C375" t="s">
        <v>19</v>
      </c>
      <c r="D375" t="s">
        <v>10</v>
      </c>
      <c r="E375" t="s">
        <v>58</v>
      </c>
      <c r="F375" t="s">
        <v>9</v>
      </c>
      <c r="G375" s="15">
        <v>142.53</v>
      </c>
      <c r="H375" t="s">
        <v>26</v>
      </c>
      <c r="I375">
        <v>2</v>
      </c>
      <c r="J375" t="s">
        <v>48</v>
      </c>
      <c r="K375" t="s">
        <v>46</v>
      </c>
      <c r="L375" t="s">
        <v>46</v>
      </c>
      <c r="M375" t="s">
        <v>64</v>
      </c>
      <c r="N375" s="15">
        <v>151.19</v>
      </c>
      <c r="O375" s="16">
        <v>-5.7</v>
      </c>
      <c r="P375">
        <v>0</v>
      </c>
    </row>
    <row r="376" spans="1:16" x14ac:dyDescent="0.3">
      <c r="A376" t="s">
        <v>65</v>
      </c>
      <c r="B376" t="s">
        <v>17</v>
      </c>
      <c r="C376" t="s">
        <v>17</v>
      </c>
      <c r="D376" t="s">
        <v>14</v>
      </c>
      <c r="E376" t="s">
        <v>71</v>
      </c>
      <c r="F376" t="s">
        <v>9</v>
      </c>
      <c r="G376" s="15">
        <v>69.36</v>
      </c>
      <c r="H376" t="s">
        <v>26</v>
      </c>
      <c r="I376">
        <v>2</v>
      </c>
      <c r="J376" t="s">
        <v>47</v>
      </c>
      <c r="K376" t="s">
        <v>45</v>
      </c>
      <c r="L376" t="s">
        <v>45</v>
      </c>
      <c r="M376" t="s">
        <v>72</v>
      </c>
      <c r="N376" s="15">
        <v>71.77</v>
      </c>
      <c r="O376" s="16">
        <v>-3.4</v>
      </c>
      <c r="P376">
        <v>0</v>
      </c>
    </row>
    <row r="377" spans="1:16" x14ac:dyDescent="0.3">
      <c r="A377" t="s">
        <v>57</v>
      </c>
      <c r="B377" t="s">
        <v>17</v>
      </c>
      <c r="C377" t="s">
        <v>17</v>
      </c>
      <c r="D377" t="s">
        <v>15</v>
      </c>
      <c r="E377" t="s">
        <v>76</v>
      </c>
      <c r="F377" t="s">
        <v>9</v>
      </c>
      <c r="G377" s="15">
        <v>118.17</v>
      </c>
      <c r="H377" t="s">
        <v>27</v>
      </c>
      <c r="I377">
        <v>3</v>
      </c>
      <c r="J377" t="s">
        <v>47</v>
      </c>
      <c r="K377" t="s">
        <v>46</v>
      </c>
      <c r="L377" t="s">
        <v>46</v>
      </c>
      <c r="M377" t="s">
        <v>72</v>
      </c>
      <c r="N377" s="15">
        <v>118.59</v>
      </c>
      <c r="O377" s="16">
        <v>-0.4</v>
      </c>
      <c r="P377">
        <v>0</v>
      </c>
    </row>
    <row r="378" spans="1:16" x14ac:dyDescent="0.3">
      <c r="A378" t="s">
        <v>57</v>
      </c>
      <c r="B378" t="s">
        <v>21</v>
      </c>
      <c r="C378" t="s">
        <v>62</v>
      </c>
      <c r="D378" t="s">
        <v>11</v>
      </c>
      <c r="E378" t="s">
        <v>79</v>
      </c>
      <c r="F378" t="s">
        <v>9</v>
      </c>
      <c r="G378" s="15">
        <v>31.86</v>
      </c>
      <c r="H378" t="s">
        <v>26</v>
      </c>
      <c r="I378">
        <v>2</v>
      </c>
      <c r="J378" t="s">
        <v>47</v>
      </c>
      <c r="K378" t="s">
        <v>46</v>
      </c>
      <c r="L378" t="s">
        <v>45</v>
      </c>
      <c r="M378" t="s">
        <v>64</v>
      </c>
      <c r="N378" s="15">
        <v>30.93</v>
      </c>
      <c r="O378" s="16">
        <v>3</v>
      </c>
      <c r="P378">
        <v>0</v>
      </c>
    </row>
    <row r="379" spans="1:16" x14ac:dyDescent="0.3">
      <c r="A379" t="s">
        <v>60</v>
      </c>
      <c r="B379" t="s">
        <v>20</v>
      </c>
      <c r="C379" t="s">
        <v>20</v>
      </c>
      <c r="D379" t="s">
        <v>10</v>
      </c>
      <c r="E379" t="s">
        <v>69</v>
      </c>
      <c r="F379" t="s">
        <v>9</v>
      </c>
      <c r="G379" s="15">
        <v>170.69</v>
      </c>
      <c r="H379" t="s">
        <v>25</v>
      </c>
      <c r="I379">
        <v>1</v>
      </c>
      <c r="J379" t="s">
        <v>47</v>
      </c>
      <c r="K379" t="s">
        <v>46</v>
      </c>
      <c r="L379" t="s">
        <v>45</v>
      </c>
      <c r="M379" t="s">
        <v>72</v>
      </c>
      <c r="N379" s="15">
        <v>158.6</v>
      </c>
      <c r="O379" s="16">
        <v>7.6</v>
      </c>
      <c r="P379">
        <v>0</v>
      </c>
    </row>
    <row r="380" spans="1:16" x14ac:dyDescent="0.3">
      <c r="A380" t="s">
        <v>65</v>
      </c>
      <c r="B380" t="s">
        <v>21</v>
      </c>
      <c r="C380" t="s">
        <v>62</v>
      </c>
      <c r="D380" t="s">
        <v>14</v>
      </c>
      <c r="E380" t="s">
        <v>63</v>
      </c>
      <c r="F380" t="s">
        <v>9</v>
      </c>
      <c r="G380" s="15">
        <v>76.16</v>
      </c>
      <c r="H380" t="s">
        <v>25</v>
      </c>
      <c r="I380">
        <v>1</v>
      </c>
      <c r="J380" t="s">
        <v>48</v>
      </c>
      <c r="K380" t="s">
        <v>45</v>
      </c>
      <c r="L380" t="s">
        <v>45</v>
      </c>
      <c r="M380" t="s">
        <v>59</v>
      </c>
      <c r="N380" s="15">
        <v>68.150000000000006</v>
      </c>
      <c r="O380" s="16">
        <v>11.8</v>
      </c>
      <c r="P380">
        <v>0</v>
      </c>
    </row>
    <row r="381" spans="1:16" x14ac:dyDescent="0.3">
      <c r="A381" t="s">
        <v>57</v>
      </c>
      <c r="B381" t="s">
        <v>21</v>
      </c>
      <c r="C381" t="s">
        <v>62</v>
      </c>
      <c r="D381" t="s">
        <v>14</v>
      </c>
      <c r="E381" t="s">
        <v>71</v>
      </c>
      <c r="F381" t="s">
        <v>9</v>
      </c>
      <c r="G381" s="15">
        <v>63.66</v>
      </c>
      <c r="H381" t="s">
        <v>26</v>
      </c>
      <c r="I381">
        <v>2</v>
      </c>
      <c r="J381" t="s">
        <v>47</v>
      </c>
      <c r="K381" t="s">
        <v>45</v>
      </c>
      <c r="L381" t="s">
        <v>45</v>
      </c>
      <c r="M381" t="s">
        <v>61</v>
      </c>
      <c r="N381" s="15">
        <v>65.77</v>
      </c>
      <c r="O381" s="16">
        <v>-3.2</v>
      </c>
      <c r="P381">
        <v>0</v>
      </c>
    </row>
    <row r="382" spans="1:16" x14ac:dyDescent="0.3">
      <c r="A382" t="s">
        <v>57</v>
      </c>
      <c r="B382" t="s">
        <v>20</v>
      </c>
      <c r="C382" t="s">
        <v>20</v>
      </c>
      <c r="D382" t="s">
        <v>11</v>
      </c>
      <c r="E382" t="s">
        <v>79</v>
      </c>
      <c r="F382" t="s">
        <v>9</v>
      </c>
      <c r="G382" s="15">
        <v>27.8</v>
      </c>
      <c r="H382" t="s">
        <v>26</v>
      </c>
      <c r="I382">
        <v>2</v>
      </c>
      <c r="J382" t="s">
        <v>47</v>
      </c>
      <c r="K382" t="s">
        <v>46</v>
      </c>
      <c r="L382" t="s">
        <v>45</v>
      </c>
      <c r="M382" t="s">
        <v>61</v>
      </c>
      <c r="N382" s="15">
        <v>30.93</v>
      </c>
      <c r="O382" s="16">
        <v>-10.1</v>
      </c>
      <c r="P382">
        <v>0</v>
      </c>
    </row>
    <row r="383" spans="1:16" x14ac:dyDescent="0.3">
      <c r="A383" t="s">
        <v>60</v>
      </c>
      <c r="B383" t="s">
        <v>20</v>
      </c>
      <c r="C383" t="s">
        <v>20</v>
      </c>
      <c r="D383" t="s">
        <v>15</v>
      </c>
      <c r="E383" t="s">
        <v>76</v>
      </c>
      <c r="F383" t="s">
        <v>9</v>
      </c>
      <c r="G383" s="15">
        <v>130.29</v>
      </c>
      <c r="H383" t="s">
        <v>26</v>
      </c>
      <c r="I383">
        <v>2</v>
      </c>
      <c r="J383" t="s">
        <v>48</v>
      </c>
      <c r="K383" t="s">
        <v>45</v>
      </c>
      <c r="L383" t="s">
        <v>45</v>
      </c>
      <c r="M383" t="s">
        <v>78</v>
      </c>
      <c r="N383" s="15">
        <v>116.32</v>
      </c>
      <c r="O383" s="16">
        <v>12</v>
      </c>
      <c r="P383">
        <v>0</v>
      </c>
    </row>
    <row r="384" spans="1:16" x14ac:dyDescent="0.3">
      <c r="A384" t="s">
        <v>65</v>
      </c>
      <c r="B384" t="s">
        <v>17</v>
      </c>
      <c r="C384" t="s">
        <v>17</v>
      </c>
      <c r="D384" t="s">
        <v>8</v>
      </c>
      <c r="E384" t="s">
        <v>74</v>
      </c>
      <c r="F384" t="s">
        <v>9</v>
      </c>
      <c r="G384" s="15">
        <v>96.51</v>
      </c>
      <c r="H384" t="s">
        <v>26</v>
      </c>
      <c r="I384">
        <v>2</v>
      </c>
      <c r="J384" t="s">
        <v>48</v>
      </c>
      <c r="K384" t="s">
        <v>45</v>
      </c>
      <c r="L384" t="s">
        <v>46</v>
      </c>
      <c r="M384" t="s">
        <v>61</v>
      </c>
      <c r="N384" s="15">
        <v>91.13</v>
      </c>
      <c r="O384" s="16">
        <v>5.9</v>
      </c>
      <c r="P384">
        <v>0</v>
      </c>
    </row>
    <row r="385" spans="1:16" x14ac:dyDescent="0.3">
      <c r="A385" t="s">
        <v>65</v>
      </c>
      <c r="B385" t="s">
        <v>19</v>
      </c>
      <c r="C385" t="s">
        <v>19</v>
      </c>
      <c r="D385" t="s">
        <v>14</v>
      </c>
      <c r="E385" t="s">
        <v>77</v>
      </c>
      <c r="F385" t="s">
        <v>9</v>
      </c>
      <c r="G385" s="15">
        <v>70.430000000000007</v>
      </c>
      <c r="H385" t="s">
        <v>26</v>
      </c>
      <c r="I385">
        <v>2</v>
      </c>
      <c r="J385" t="s">
        <v>44</v>
      </c>
      <c r="K385" t="s">
        <v>45</v>
      </c>
      <c r="L385" t="s">
        <v>45</v>
      </c>
      <c r="M385" t="s">
        <v>61</v>
      </c>
      <c r="N385" s="15">
        <v>70.66</v>
      </c>
      <c r="O385" s="16">
        <v>-0.3</v>
      </c>
      <c r="P385">
        <v>0</v>
      </c>
    </row>
    <row r="386" spans="1:16" x14ac:dyDescent="0.3">
      <c r="A386" t="s">
        <v>57</v>
      </c>
      <c r="B386" t="s">
        <v>21</v>
      </c>
      <c r="C386" t="s">
        <v>62</v>
      </c>
      <c r="D386" t="s">
        <v>8</v>
      </c>
      <c r="E386" t="s">
        <v>74</v>
      </c>
      <c r="F386" t="s">
        <v>9</v>
      </c>
      <c r="G386" s="15">
        <v>90.87</v>
      </c>
      <c r="H386" t="s">
        <v>26</v>
      </c>
      <c r="I386">
        <v>2</v>
      </c>
      <c r="J386" t="s">
        <v>48</v>
      </c>
      <c r="K386" t="s">
        <v>46</v>
      </c>
      <c r="L386" t="s">
        <v>46</v>
      </c>
      <c r="M386" t="s">
        <v>64</v>
      </c>
      <c r="N386" s="15">
        <v>83.41</v>
      </c>
      <c r="O386" s="16">
        <v>8.9</v>
      </c>
      <c r="P386">
        <v>0</v>
      </c>
    </row>
    <row r="387" spans="1:16" x14ac:dyDescent="0.3">
      <c r="A387" t="s">
        <v>57</v>
      </c>
      <c r="B387" t="s">
        <v>17</v>
      </c>
      <c r="C387" t="s">
        <v>17</v>
      </c>
      <c r="D387" t="s">
        <v>11</v>
      </c>
      <c r="E387" t="s">
        <v>70</v>
      </c>
      <c r="F387" t="s">
        <v>9</v>
      </c>
      <c r="G387" s="15">
        <v>27.68</v>
      </c>
      <c r="H387" t="s">
        <v>27</v>
      </c>
      <c r="I387">
        <v>3</v>
      </c>
      <c r="J387" t="s">
        <v>48</v>
      </c>
      <c r="K387" t="s">
        <v>46</v>
      </c>
      <c r="L387" t="s">
        <v>45</v>
      </c>
      <c r="M387" t="s">
        <v>68</v>
      </c>
      <c r="N387" s="15">
        <v>30.5</v>
      </c>
      <c r="O387" s="16">
        <v>-9.1999999999999993</v>
      </c>
      <c r="P387">
        <v>0</v>
      </c>
    </row>
    <row r="388" spans="1:16" x14ac:dyDescent="0.3">
      <c r="A388" t="s">
        <v>65</v>
      </c>
      <c r="B388" t="s">
        <v>18</v>
      </c>
      <c r="C388" t="s">
        <v>18</v>
      </c>
      <c r="D388" t="s">
        <v>15</v>
      </c>
      <c r="E388" t="s">
        <v>76</v>
      </c>
      <c r="F388" t="s">
        <v>9</v>
      </c>
      <c r="G388" s="15">
        <v>140</v>
      </c>
      <c r="H388" t="s">
        <v>25</v>
      </c>
      <c r="I388">
        <v>1</v>
      </c>
      <c r="J388" t="s">
        <v>44</v>
      </c>
      <c r="K388" t="s">
        <v>46</v>
      </c>
      <c r="L388" t="s">
        <v>45</v>
      </c>
      <c r="M388" t="s">
        <v>72</v>
      </c>
      <c r="N388" s="15">
        <v>126.51</v>
      </c>
      <c r="O388" s="16">
        <v>10.7</v>
      </c>
      <c r="P388">
        <v>0</v>
      </c>
    </row>
    <row r="389" spans="1:16" x14ac:dyDescent="0.3">
      <c r="A389" t="s">
        <v>57</v>
      </c>
      <c r="B389" t="s">
        <v>18</v>
      </c>
      <c r="C389" t="s">
        <v>18</v>
      </c>
      <c r="D389" t="s">
        <v>14</v>
      </c>
      <c r="E389" t="s">
        <v>63</v>
      </c>
      <c r="F389" t="s">
        <v>9</v>
      </c>
      <c r="G389" s="15">
        <v>69.48</v>
      </c>
      <c r="H389" t="s">
        <v>26</v>
      </c>
      <c r="I389">
        <v>2</v>
      </c>
      <c r="J389" t="s">
        <v>48</v>
      </c>
      <c r="K389" t="s">
        <v>45</v>
      </c>
      <c r="L389" t="s">
        <v>45</v>
      </c>
      <c r="M389" t="s">
        <v>72</v>
      </c>
      <c r="N389" s="15">
        <v>65.16</v>
      </c>
      <c r="O389" s="16">
        <v>6.6</v>
      </c>
      <c r="P389">
        <v>0</v>
      </c>
    </row>
    <row r="390" spans="1:16" x14ac:dyDescent="0.3">
      <c r="A390" t="s">
        <v>65</v>
      </c>
      <c r="B390" t="s">
        <v>19</v>
      </c>
      <c r="C390" t="s">
        <v>19</v>
      </c>
      <c r="D390" t="s">
        <v>11</v>
      </c>
      <c r="E390" t="s">
        <v>79</v>
      </c>
      <c r="F390" t="s">
        <v>9</v>
      </c>
      <c r="G390" s="15">
        <v>30.86</v>
      </c>
      <c r="H390" t="s">
        <v>25</v>
      </c>
      <c r="I390">
        <v>1</v>
      </c>
      <c r="J390" t="s">
        <v>47</v>
      </c>
      <c r="K390" t="s">
        <v>45</v>
      </c>
      <c r="L390" t="s">
        <v>45</v>
      </c>
      <c r="M390" t="s">
        <v>59</v>
      </c>
      <c r="N390" s="15">
        <v>33.39</v>
      </c>
      <c r="O390" s="16">
        <v>-7.6</v>
      </c>
      <c r="P390">
        <v>0</v>
      </c>
    </row>
    <row r="391" spans="1:16" x14ac:dyDescent="0.3">
      <c r="A391" t="s">
        <v>60</v>
      </c>
      <c r="B391" t="s">
        <v>21</v>
      </c>
      <c r="C391" t="s">
        <v>62</v>
      </c>
      <c r="D391" t="s">
        <v>14</v>
      </c>
      <c r="E391" t="s">
        <v>71</v>
      </c>
      <c r="F391" t="s">
        <v>9</v>
      </c>
      <c r="G391" s="15">
        <v>76.86</v>
      </c>
      <c r="H391" t="s">
        <v>25</v>
      </c>
      <c r="I391">
        <v>1</v>
      </c>
      <c r="J391" t="s">
        <v>48</v>
      </c>
      <c r="K391" t="s">
        <v>46</v>
      </c>
      <c r="L391" t="s">
        <v>46</v>
      </c>
      <c r="M391" t="s">
        <v>72</v>
      </c>
      <c r="N391" s="15">
        <v>65.239999999999995</v>
      </c>
      <c r="O391" s="16">
        <v>17.8</v>
      </c>
      <c r="P391">
        <v>1</v>
      </c>
    </row>
    <row r="392" spans="1:16" x14ac:dyDescent="0.3">
      <c r="A392" t="s">
        <v>57</v>
      </c>
      <c r="B392" t="s">
        <v>17</v>
      </c>
      <c r="C392" t="s">
        <v>17</v>
      </c>
      <c r="D392" t="s">
        <v>10</v>
      </c>
      <c r="E392" t="s">
        <v>58</v>
      </c>
      <c r="F392" t="s">
        <v>9</v>
      </c>
      <c r="G392" s="15">
        <v>138.91999999999999</v>
      </c>
      <c r="H392" t="s">
        <v>27</v>
      </c>
      <c r="I392">
        <v>3</v>
      </c>
      <c r="J392" t="s">
        <v>47</v>
      </c>
      <c r="K392" t="s">
        <v>46</v>
      </c>
      <c r="L392" t="s">
        <v>45</v>
      </c>
      <c r="M392" t="s">
        <v>61</v>
      </c>
      <c r="N392" s="15">
        <v>151.19</v>
      </c>
      <c r="O392" s="16">
        <v>-8.1</v>
      </c>
      <c r="P392">
        <v>0</v>
      </c>
    </row>
    <row r="393" spans="1:16" x14ac:dyDescent="0.3">
      <c r="A393" t="s">
        <v>65</v>
      </c>
      <c r="B393" t="s">
        <v>17</v>
      </c>
      <c r="C393" t="s">
        <v>17</v>
      </c>
      <c r="D393" t="s">
        <v>14</v>
      </c>
      <c r="E393" t="s">
        <v>63</v>
      </c>
      <c r="F393" t="s">
        <v>9</v>
      </c>
      <c r="G393" s="15">
        <v>74.569999999999993</v>
      </c>
      <c r="H393" t="s">
        <v>25</v>
      </c>
      <c r="I393">
        <v>1</v>
      </c>
      <c r="J393" t="s">
        <v>47</v>
      </c>
      <c r="K393" t="s">
        <v>45</v>
      </c>
      <c r="L393" t="s">
        <v>45</v>
      </c>
      <c r="M393" t="s">
        <v>59</v>
      </c>
      <c r="N393" s="15">
        <v>68.150000000000006</v>
      </c>
      <c r="O393" s="16">
        <v>9.4</v>
      </c>
      <c r="P393">
        <v>0</v>
      </c>
    </row>
    <row r="394" spans="1:16" x14ac:dyDescent="0.3">
      <c r="A394" t="s">
        <v>57</v>
      </c>
      <c r="B394" t="s">
        <v>22</v>
      </c>
      <c r="C394" t="s">
        <v>22</v>
      </c>
      <c r="D394" t="s">
        <v>8</v>
      </c>
      <c r="E394" t="s">
        <v>74</v>
      </c>
      <c r="F394" t="s">
        <v>9</v>
      </c>
      <c r="G394" s="15">
        <v>78.3</v>
      </c>
      <c r="H394" t="s">
        <v>25</v>
      </c>
      <c r="I394">
        <v>1</v>
      </c>
      <c r="J394" t="s">
        <v>48</v>
      </c>
      <c r="K394" t="s">
        <v>45</v>
      </c>
      <c r="L394" t="s">
        <v>45</v>
      </c>
      <c r="M394" t="s">
        <v>59</v>
      </c>
      <c r="N394" s="15">
        <v>83.41</v>
      </c>
      <c r="O394" s="16">
        <v>-6.1</v>
      </c>
      <c r="P394">
        <v>0</v>
      </c>
    </row>
    <row r="395" spans="1:16" x14ac:dyDescent="0.3">
      <c r="A395" t="s">
        <v>65</v>
      </c>
      <c r="B395" t="s">
        <v>19</v>
      </c>
      <c r="C395" t="s">
        <v>19</v>
      </c>
      <c r="D395" t="s">
        <v>8</v>
      </c>
      <c r="E395" t="s">
        <v>74</v>
      </c>
      <c r="F395" t="s">
        <v>9</v>
      </c>
      <c r="G395" s="15">
        <v>100.71</v>
      </c>
      <c r="H395" t="s">
        <v>26</v>
      </c>
      <c r="I395">
        <v>2</v>
      </c>
      <c r="J395" t="s">
        <v>47</v>
      </c>
      <c r="K395" t="s">
        <v>45</v>
      </c>
      <c r="L395" t="s">
        <v>46</v>
      </c>
      <c r="M395" t="s">
        <v>64</v>
      </c>
      <c r="N395" s="15">
        <v>91.13</v>
      </c>
      <c r="O395" s="16">
        <v>10.5</v>
      </c>
      <c r="P395">
        <v>0</v>
      </c>
    </row>
    <row r="396" spans="1:16" x14ac:dyDescent="0.3">
      <c r="A396" t="s">
        <v>65</v>
      </c>
      <c r="B396" t="s">
        <v>17</v>
      </c>
      <c r="C396" t="s">
        <v>17</v>
      </c>
      <c r="D396" t="s">
        <v>15</v>
      </c>
      <c r="E396" t="s">
        <v>75</v>
      </c>
      <c r="F396" t="s">
        <v>9</v>
      </c>
      <c r="G396" s="15">
        <v>127.23</v>
      </c>
      <c r="H396" t="s">
        <v>26</v>
      </c>
      <c r="I396">
        <v>2</v>
      </c>
      <c r="J396" t="s">
        <v>48</v>
      </c>
      <c r="K396" t="s">
        <v>45</v>
      </c>
      <c r="L396" t="s">
        <v>45</v>
      </c>
      <c r="M396" t="s">
        <v>67</v>
      </c>
      <c r="N396" s="15">
        <v>126.9</v>
      </c>
      <c r="O396" s="16">
        <v>0.3</v>
      </c>
      <c r="P396">
        <v>0</v>
      </c>
    </row>
    <row r="397" spans="1:16" x14ac:dyDescent="0.3">
      <c r="A397" t="s">
        <v>57</v>
      </c>
      <c r="B397" t="s">
        <v>21</v>
      </c>
      <c r="C397" t="s">
        <v>62</v>
      </c>
      <c r="D397" t="s">
        <v>8</v>
      </c>
      <c r="E397" t="s">
        <v>74</v>
      </c>
      <c r="F397" t="s">
        <v>9</v>
      </c>
      <c r="G397" s="15">
        <v>86.28</v>
      </c>
      <c r="H397" t="s">
        <v>25</v>
      </c>
      <c r="I397">
        <v>1</v>
      </c>
      <c r="J397" t="s">
        <v>47</v>
      </c>
      <c r="K397" t="s">
        <v>46</v>
      </c>
      <c r="L397" t="s">
        <v>46</v>
      </c>
      <c r="M397" t="s">
        <v>68</v>
      </c>
      <c r="N397" s="15">
        <v>83.41</v>
      </c>
      <c r="O397" s="16">
        <v>3.4</v>
      </c>
      <c r="P397">
        <v>0</v>
      </c>
    </row>
    <row r="398" spans="1:16" x14ac:dyDescent="0.3">
      <c r="A398" t="s">
        <v>65</v>
      </c>
      <c r="B398" t="s">
        <v>18</v>
      </c>
      <c r="C398" t="s">
        <v>18</v>
      </c>
      <c r="D398" t="s">
        <v>10</v>
      </c>
      <c r="E398" t="s">
        <v>69</v>
      </c>
      <c r="F398" t="s">
        <v>9</v>
      </c>
      <c r="G398" s="15">
        <v>160.38999999999999</v>
      </c>
      <c r="H398" t="s">
        <v>27</v>
      </c>
      <c r="I398">
        <v>3</v>
      </c>
      <c r="J398" t="s">
        <v>47</v>
      </c>
      <c r="K398" t="s">
        <v>45</v>
      </c>
      <c r="L398" t="s">
        <v>45</v>
      </c>
      <c r="M398" t="s">
        <v>78</v>
      </c>
      <c r="N398" s="15">
        <v>158.91999999999999</v>
      </c>
      <c r="O398" s="16">
        <v>0.9</v>
      </c>
      <c r="P398">
        <v>0</v>
      </c>
    </row>
    <row r="399" spans="1:16" x14ac:dyDescent="0.3">
      <c r="A399" t="s">
        <v>57</v>
      </c>
      <c r="B399" t="s">
        <v>19</v>
      </c>
      <c r="C399" t="s">
        <v>19</v>
      </c>
      <c r="D399" t="s">
        <v>15</v>
      </c>
      <c r="E399" t="s">
        <v>75</v>
      </c>
      <c r="F399" t="s">
        <v>9</v>
      </c>
      <c r="G399" s="15">
        <v>112.15</v>
      </c>
      <c r="H399" t="s">
        <v>26</v>
      </c>
      <c r="I399">
        <v>2</v>
      </c>
      <c r="J399" t="s">
        <v>48</v>
      </c>
      <c r="K399" t="s">
        <v>45</v>
      </c>
      <c r="L399" t="s">
        <v>45</v>
      </c>
      <c r="M399" t="s">
        <v>67</v>
      </c>
      <c r="N399" s="15">
        <v>120.06</v>
      </c>
      <c r="O399" s="16">
        <v>-6.6</v>
      </c>
      <c r="P399">
        <v>0</v>
      </c>
    </row>
    <row r="400" spans="1:16" x14ac:dyDescent="0.3">
      <c r="A400" t="s">
        <v>57</v>
      </c>
      <c r="B400" t="s">
        <v>19</v>
      </c>
      <c r="C400" t="s">
        <v>19</v>
      </c>
      <c r="D400" t="s">
        <v>14</v>
      </c>
      <c r="E400" t="s">
        <v>63</v>
      </c>
      <c r="F400" t="s">
        <v>9</v>
      </c>
      <c r="G400" s="15">
        <v>63.53</v>
      </c>
      <c r="H400" t="s">
        <v>27</v>
      </c>
      <c r="I400">
        <v>3</v>
      </c>
      <c r="J400" t="s">
        <v>48</v>
      </c>
      <c r="K400" t="s">
        <v>46</v>
      </c>
      <c r="L400" t="s">
        <v>45</v>
      </c>
      <c r="M400" t="s">
        <v>78</v>
      </c>
      <c r="N400" s="15">
        <v>65.16</v>
      </c>
      <c r="O400" s="16">
        <v>-2.5</v>
      </c>
      <c r="P400">
        <v>0</v>
      </c>
    </row>
    <row r="401" spans="1:16" x14ac:dyDescent="0.3">
      <c r="A401" t="s">
        <v>65</v>
      </c>
      <c r="B401" t="s">
        <v>20</v>
      </c>
      <c r="C401" t="s">
        <v>20</v>
      </c>
      <c r="D401" t="s">
        <v>10</v>
      </c>
      <c r="E401" t="s">
        <v>58</v>
      </c>
      <c r="F401" t="s">
        <v>9</v>
      </c>
      <c r="G401" s="15">
        <v>149.9</v>
      </c>
      <c r="H401" t="s">
        <v>26</v>
      </c>
      <c r="I401">
        <v>2</v>
      </c>
      <c r="J401" t="s">
        <v>47</v>
      </c>
      <c r="K401" t="s">
        <v>46</v>
      </c>
      <c r="L401" t="s">
        <v>45</v>
      </c>
      <c r="M401" t="s">
        <v>59</v>
      </c>
      <c r="N401" s="15">
        <v>166.29</v>
      </c>
      <c r="O401" s="16">
        <v>-9.9</v>
      </c>
      <c r="P401">
        <v>0</v>
      </c>
    </row>
    <row r="402" spans="1:16" x14ac:dyDescent="0.3">
      <c r="A402" t="s">
        <v>65</v>
      </c>
      <c r="B402" t="s">
        <v>18</v>
      </c>
      <c r="C402" t="s">
        <v>18</v>
      </c>
      <c r="D402" t="s">
        <v>10</v>
      </c>
      <c r="E402" t="s">
        <v>58</v>
      </c>
      <c r="F402" t="s">
        <v>9</v>
      </c>
      <c r="G402" s="15">
        <v>191.09</v>
      </c>
      <c r="H402" t="s">
        <v>26</v>
      </c>
      <c r="I402">
        <v>2</v>
      </c>
      <c r="J402" t="s">
        <v>47</v>
      </c>
      <c r="K402" t="s">
        <v>45</v>
      </c>
      <c r="L402" t="s">
        <v>45</v>
      </c>
      <c r="M402" t="s">
        <v>61</v>
      </c>
      <c r="N402" s="15">
        <v>166.29</v>
      </c>
      <c r="O402" s="16">
        <v>14.9</v>
      </c>
      <c r="P402">
        <v>0</v>
      </c>
    </row>
    <row r="403" spans="1:16" x14ac:dyDescent="0.3">
      <c r="A403" t="s">
        <v>57</v>
      </c>
      <c r="B403" t="s">
        <v>22</v>
      </c>
      <c r="C403" t="s">
        <v>22</v>
      </c>
      <c r="D403" t="s">
        <v>8</v>
      </c>
      <c r="E403" t="s">
        <v>73</v>
      </c>
      <c r="F403" t="s">
        <v>9</v>
      </c>
      <c r="G403" s="15">
        <v>73.03</v>
      </c>
      <c r="H403" t="s">
        <v>25</v>
      </c>
      <c r="I403">
        <v>1</v>
      </c>
      <c r="J403" t="s">
        <v>48</v>
      </c>
      <c r="K403" t="s">
        <v>45</v>
      </c>
      <c r="L403" t="s">
        <v>45</v>
      </c>
      <c r="M403" t="s">
        <v>61</v>
      </c>
      <c r="N403" s="15">
        <v>86.06</v>
      </c>
      <c r="O403" s="16">
        <v>-15.1</v>
      </c>
      <c r="P403">
        <v>0</v>
      </c>
    </row>
    <row r="404" spans="1:16" x14ac:dyDescent="0.3">
      <c r="A404" t="s">
        <v>60</v>
      </c>
      <c r="B404" t="s">
        <v>19</v>
      </c>
      <c r="C404" t="s">
        <v>19</v>
      </c>
      <c r="D404" t="s">
        <v>10</v>
      </c>
      <c r="E404" t="s">
        <v>69</v>
      </c>
      <c r="F404" t="s">
        <v>9</v>
      </c>
      <c r="G404" s="15">
        <v>167.17</v>
      </c>
      <c r="H404" t="s">
        <v>27</v>
      </c>
      <c r="I404">
        <v>3</v>
      </c>
      <c r="J404" t="s">
        <v>48</v>
      </c>
      <c r="K404" t="s">
        <v>45</v>
      </c>
      <c r="L404" t="s">
        <v>45</v>
      </c>
      <c r="M404" t="s">
        <v>59</v>
      </c>
      <c r="N404" s="15">
        <v>158.6</v>
      </c>
      <c r="O404" s="16">
        <v>5.4</v>
      </c>
      <c r="P404">
        <v>0</v>
      </c>
    </row>
    <row r="405" spans="1:16" x14ac:dyDescent="0.3">
      <c r="A405" t="s">
        <v>60</v>
      </c>
      <c r="B405" t="s">
        <v>21</v>
      </c>
      <c r="C405" t="s">
        <v>62</v>
      </c>
      <c r="D405" t="s">
        <v>14</v>
      </c>
      <c r="E405" t="s">
        <v>63</v>
      </c>
      <c r="F405" t="s">
        <v>9</v>
      </c>
      <c r="G405" s="15">
        <v>75.459999999999994</v>
      </c>
      <c r="H405" t="s">
        <v>26</v>
      </c>
      <c r="I405">
        <v>2</v>
      </c>
      <c r="J405" t="s">
        <v>47</v>
      </c>
      <c r="K405" t="s">
        <v>45</v>
      </c>
      <c r="L405" t="s">
        <v>45</v>
      </c>
      <c r="M405" t="s">
        <v>68</v>
      </c>
      <c r="N405" s="15">
        <v>66.680000000000007</v>
      </c>
      <c r="O405" s="16">
        <v>13.2</v>
      </c>
      <c r="P405">
        <v>0</v>
      </c>
    </row>
    <row r="406" spans="1:16" x14ac:dyDescent="0.3">
      <c r="A406" t="s">
        <v>65</v>
      </c>
      <c r="B406" t="s">
        <v>18</v>
      </c>
      <c r="C406" t="s">
        <v>18</v>
      </c>
      <c r="D406" t="s">
        <v>8</v>
      </c>
      <c r="E406" t="s">
        <v>74</v>
      </c>
      <c r="F406" t="s">
        <v>9</v>
      </c>
      <c r="G406" s="15">
        <v>105.34</v>
      </c>
      <c r="H406" t="s">
        <v>25</v>
      </c>
      <c r="I406">
        <v>1</v>
      </c>
      <c r="J406" t="s">
        <v>47</v>
      </c>
      <c r="K406" t="s">
        <v>45</v>
      </c>
      <c r="L406" t="s">
        <v>45</v>
      </c>
      <c r="M406" t="s">
        <v>78</v>
      </c>
      <c r="N406" s="15">
        <v>91.13</v>
      </c>
      <c r="O406" s="16">
        <v>15.6</v>
      </c>
      <c r="P406">
        <v>1</v>
      </c>
    </row>
    <row r="407" spans="1:16" x14ac:dyDescent="0.3">
      <c r="A407" t="s">
        <v>57</v>
      </c>
      <c r="B407" t="s">
        <v>22</v>
      </c>
      <c r="C407" t="s">
        <v>22</v>
      </c>
      <c r="D407" t="s">
        <v>8</v>
      </c>
      <c r="E407" t="s">
        <v>74</v>
      </c>
      <c r="F407" t="s">
        <v>9</v>
      </c>
      <c r="G407" s="15">
        <v>93.28</v>
      </c>
      <c r="H407" t="s">
        <v>25</v>
      </c>
      <c r="I407">
        <v>1</v>
      </c>
      <c r="J407" t="s">
        <v>48</v>
      </c>
      <c r="K407" t="s">
        <v>46</v>
      </c>
      <c r="L407" t="s">
        <v>46</v>
      </c>
      <c r="M407" t="s">
        <v>64</v>
      </c>
      <c r="N407" s="15">
        <v>83.41</v>
      </c>
      <c r="O407" s="16">
        <v>11.8</v>
      </c>
      <c r="P407">
        <v>0</v>
      </c>
    </row>
    <row r="408" spans="1:16" x14ac:dyDescent="0.3">
      <c r="A408" t="s">
        <v>57</v>
      </c>
      <c r="B408" t="s">
        <v>22</v>
      </c>
      <c r="C408" t="s">
        <v>22</v>
      </c>
      <c r="D408" t="s">
        <v>15</v>
      </c>
      <c r="E408" t="s">
        <v>75</v>
      </c>
      <c r="F408" t="s">
        <v>9</v>
      </c>
      <c r="G408" s="15">
        <v>112.84</v>
      </c>
      <c r="H408" t="s">
        <v>26</v>
      </c>
      <c r="I408">
        <v>2</v>
      </c>
      <c r="J408" t="s">
        <v>48</v>
      </c>
      <c r="K408" t="s">
        <v>46</v>
      </c>
      <c r="L408" t="s">
        <v>45</v>
      </c>
      <c r="M408" t="s">
        <v>61</v>
      </c>
      <c r="N408" s="15">
        <v>120.06</v>
      </c>
      <c r="O408" s="16">
        <v>-6</v>
      </c>
      <c r="P408">
        <v>0</v>
      </c>
    </row>
    <row r="409" spans="1:16" x14ac:dyDescent="0.3">
      <c r="A409" t="s">
        <v>65</v>
      </c>
      <c r="B409" t="s">
        <v>18</v>
      </c>
      <c r="C409" t="s">
        <v>18</v>
      </c>
      <c r="D409" t="s">
        <v>14</v>
      </c>
      <c r="E409" t="s">
        <v>71</v>
      </c>
      <c r="F409" t="s">
        <v>9</v>
      </c>
      <c r="G409" s="15">
        <v>61.65</v>
      </c>
      <c r="H409" t="s">
        <v>26</v>
      </c>
      <c r="I409">
        <v>2</v>
      </c>
      <c r="J409" t="s">
        <v>47</v>
      </c>
      <c r="K409" t="s">
        <v>46</v>
      </c>
      <c r="L409" t="s">
        <v>45</v>
      </c>
      <c r="M409" t="s">
        <v>78</v>
      </c>
      <c r="N409" s="15">
        <v>71.77</v>
      </c>
      <c r="O409" s="16">
        <v>-14.1</v>
      </c>
      <c r="P409">
        <v>0</v>
      </c>
    </row>
    <row r="410" spans="1:16" x14ac:dyDescent="0.3">
      <c r="A410" t="s">
        <v>57</v>
      </c>
      <c r="B410" t="s">
        <v>20</v>
      </c>
      <c r="C410" t="s">
        <v>20</v>
      </c>
      <c r="D410" t="s">
        <v>12</v>
      </c>
      <c r="E410" t="s">
        <v>80</v>
      </c>
      <c r="F410" t="s">
        <v>13</v>
      </c>
      <c r="G410" s="15">
        <v>171.7</v>
      </c>
      <c r="H410" t="s">
        <v>26</v>
      </c>
      <c r="I410">
        <v>2</v>
      </c>
      <c r="J410" t="s">
        <v>48</v>
      </c>
      <c r="K410" t="s">
        <v>45</v>
      </c>
      <c r="L410" t="s">
        <v>45</v>
      </c>
      <c r="M410" t="s">
        <v>78</v>
      </c>
      <c r="N410" s="15">
        <v>162.72999999999999</v>
      </c>
      <c r="O410" s="16">
        <v>5.5</v>
      </c>
      <c r="P410">
        <v>0</v>
      </c>
    </row>
    <row r="411" spans="1:16" x14ac:dyDescent="0.3">
      <c r="A411" t="s">
        <v>57</v>
      </c>
      <c r="B411" t="s">
        <v>17</v>
      </c>
      <c r="C411" t="s">
        <v>17</v>
      </c>
      <c r="D411" t="s">
        <v>15</v>
      </c>
      <c r="E411" t="s">
        <v>76</v>
      </c>
      <c r="F411" t="s">
        <v>9</v>
      </c>
      <c r="G411" s="15">
        <v>114.61</v>
      </c>
      <c r="H411" t="s">
        <v>26</v>
      </c>
      <c r="I411">
        <v>2</v>
      </c>
      <c r="J411" t="s">
        <v>47</v>
      </c>
      <c r="K411" t="s">
        <v>46</v>
      </c>
      <c r="L411" t="s">
        <v>46</v>
      </c>
      <c r="M411" t="s">
        <v>61</v>
      </c>
      <c r="N411" s="15">
        <v>118.59</v>
      </c>
      <c r="O411" s="16">
        <v>-3.4</v>
      </c>
      <c r="P411">
        <v>0</v>
      </c>
    </row>
    <row r="412" spans="1:16" x14ac:dyDescent="0.3">
      <c r="A412" t="s">
        <v>65</v>
      </c>
      <c r="B412" t="s">
        <v>21</v>
      </c>
      <c r="C412" t="s">
        <v>62</v>
      </c>
      <c r="D412" t="s">
        <v>12</v>
      </c>
      <c r="E412" t="s">
        <v>66</v>
      </c>
      <c r="F412" t="s">
        <v>13</v>
      </c>
      <c r="G412" s="15">
        <v>130.4</v>
      </c>
      <c r="H412" t="s">
        <v>26</v>
      </c>
      <c r="I412">
        <v>2</v>
      </c>
      <c r="J412" t="s">
        <v>48</v>
      </c>
      <c r="K412" t="s">
        <v>46</v>
      </c>
      <c r="L412" t="s">
        <v>45</v>
      </c>
      <c r="M412" t="s">
        <v>78</v>
      </c>
      <c r="N412" s="15">
        <v>178.49</v>
      </c>
      <c r="O412" s="16">
        <v>-26.9</v>
      </c>
      <c r="P412">
        <v>0</v>
      </c>
    </row>
    <row r="413" spans="1:16" x14ac:dyDescent="0.3">
      <c r="A413" t="s">
        <v>60</v>
      </c>
      <c r="B413" t="s">
        <v>19</v>
      </c>
      <c r="C413" t="s">
        <v>19</v>
      </c>
      <c r="D413" t="s">
        <v>12</v>
      </c>
      <c r="E413" t="s">
        <v>66</v>
      </c>
      <c r="F413" t="s">
        <v>13</v>
      </c>
      <c r="G413" s="15">
        <v>170.47</v>
      </c>
      <c r="H413" t="s">
        <v>25</v>
      </c>
      <c r="I413">
        <v>1</v>
      </c>
      <c r="J413" t="s">
        <v>48</v>
      </c>
      <c r="K413" t="s">
        <v>45</v>
      </c>
      <c r="L413" t="s">
        <v>45</v>
      </c>
      <c r="M413" t="s">
        <v>72</v>
      </c>
      <c r="N413" s="15">
        <v>168.34</v>
      </c>
      <c r="O413" s="16">
        <v>1.3</v>
      </c>
      <c r="P413">
        <v>0</v>
      </c>
    </row>
    <row r="414" spans="1:16" x14ac:dyDescent="0.3">
      <c r="A414" t="s">
        <v>57</v>
      </c>
      <c r="B414" t="s">
        <v>19</v>
      </c>
      <c r="C414" t="s">
        <v>19</v>
      </c>
      <c r="D414" t="s">
        <v>11</v>
      </c>
      <c r="E414" t="s">
        <v>79</v>
      </c>
      <c r="F414" t="s">
        <v>9</v>
      </c>
      <c r="G414" s="15">
        <v>31.59</v>
      </c>
      <c r="H414" t="s">
        <v>26</v>
      </c>
      <c r="I414">
        <v>2</v>
      </c>
      <c r="J414" t="s">
        <v>48</v>
      </c>
      <c r="K414" t="s">
        <v>46</v>
      </c>
      <c r="L414" t="s">
        <v>45</v>
      </c>
      <c r="M414" t="s">
        <v>68</v>
      </c>
      <c r="N414" s="15">
        <v>30.93</v>
      </c>
      <c r="O414" s="16">
        <v>2.1</v>
      </c>
      <c r="P414">
        <v>0</v>
      </c>
    </row>
    <row r="415" spans="1:16" x14ac:dyDescent="0.3">
      <c r="A415" t="s">
        <v>60</v>
      </c>
      <c r="B415" t="s">
        <v>19</v>
      </c>
      <c r="C415" t="s">
        <v>19</v>
      </c>
      <c r="D415" t="s">
        <v>12</v>
      </c>
      <c r="E415" t="s">
        <v>66</v>
      </c>
      <c r="F415" t="s">
        <v>13</v>
      </c>
      <c r="G415" s="15">
        <v>190.04</v>
      </c>
      <c r="H415" t="s">
        <v>25</v>
      </c>
      <c r="I415">
        <v>1</v>
      </c>
      <c r="J415" t="s">
        <v>48</v>
      </c>
      <c r="K415" t="s">
        <v>45</v>
      </c>
      <c r="L415" t="s">
        <v>45</v>
      </c>
      <c r="M415" t="s">
        <v>64</v>
      </c>
      <c r="N415" s="15">
        <v>168.34</v>
      </c>
      <c r="O415" s="16">
        <v>12.9</v>
      </c>
      <c r="P415">
        <v>0</v>
      </c>
    </row>
    <row r="416" spans="1:16" x14ac:dyDescent="0.3">
      <c r="A416" t="s">
        <v>60</v>
      </c>
      <c r="B416" t="s">
        <v>21</v>
      </c>
      <c r="C416" t="s">
        <v>62</v>
      </c>
      <c r="D416" t="s">
        <v>10</v>
      </c>
      <c r="E416" t="s">
        <v>58</v>
      </c>
      <c r="F416" t="s">
        <v>9</v>
      </c>
      <c r="G416" s="15">
        <v>156.19999999999999</v>
      </c>
      <c r="H416" t="s">
        <v>25</v>
      </c>
      <c r="I416">
        <v>1</v>
      </c>
      <c r="J416" t="s">
        <v>48</v>
      </c>
      <c r="K416" t="s">
        <v>46</v>
      </c>
      <c r="L416" t="s">
        <v>45</v>
      </c>
      <c r="M416" t="s">
        <v>67</v>
      </c>
      <c r="N416" s="15">
        <v>152.03</v>
      </c>
      <c r="O416" s="16">
        <v>2.7</v>
      </c>
      <c r="P416">
        <v>0</v>
      </c>
    </row>
    <row r="417" spans="1:16" x14ac:dyDescent="0.3">
      <c r="A417" t="s">
        <v>57</v>
      </c>
      <c r="B417" t="s">
        <v>22</v>
      </c>
      <c r="C417" t="s">
        <v>22</v>
      </c>
      <c r="D417" t="s">
        <v>8</v>
      </c>
      <c r="E417" t="s">
        <v>73</v>
      </c>
      <c r="F417" t="s">
        <v>9</v>
      </c>
      <c r="G417" s="15">
        <v>76.73</v>
      </c>
      <c r="H417" t="s">
        <v>26</v>
      </c>
      <c r="I417">
        <v>2</v>
      </c>
      <c r="J417" t="s">
        <v>48</v>
      </c>
      <c r="K417" t="s">
        <v>46</v>
      </c>
      <c r="L417" t="s">
        <v>46</v>
      </c>
      <c r="M417" t="s">
        <v>61</v>
      </c>
      <c r="N417" s="15">
        <v>86.06</v>
      </c>
      <c r="O417" s="16">
        <v>-10.8</v>
      </c>
      <c r="P417">
        <v>0</v>
      </c>
    </row>
    <row r="418" spans="1:16" x14ac:dyDescent="0.3">
      <c r="A418" t="s">
        <v>57</v>
      </c>
      <c r="B418" t="s">
        <v>17</v>
      </c>
      <c r="C418" t="s">
        <v>17</v>
      </c>
      <c r="D418" t="s">
        <v>11</v>
      </c>
      <c r="E418" t="s">
        <v>79</v>
      </c>
      <c r="F418" t="s">
        <v>9</v>
      </c>
      <c r="G418" s="15">
        <v>40</v>
      </c>
      <c r="H418" t="s">
        <v>25</v>
      </c>
      <c r="I418">
        <v>1</v>
      </c>
      <c r="J418" t="s">
        <v>47</v>
      </c>
      <c r="K418" t="s">
        <v>45</v>
      </c>
      <c r="L418" t="s">
        <v>45</v>
      </c>
      <c r="M418" t="s">
        <v>64</v>
      </c>
      <c r="N418" s="15">
        <v>30.93</v>
      </c>
      <c r="O418" s="16">
        <v>29.3</v>
      </c>
      <c r="P418">
        <v>1</v>
      </c>
    </row>
    <row r="419" spans="1:16" x14ac:dyDescent="0.3">
      <c r="A419" t="s">
        <v>65</v>
      </c>
      <c r="B419" t="s">
        <v>21</v>
      </c>
      <c r="C419" t="s">
        <v>62</v>
      </c>
      <c r="D419" t="s">
        <v>15</v>
      </c>
      <c r="E419" t="s">
        <v>76</v>
      </c>
      <c r="F419" t="s">
        <v>9</v>
      </c>
      <c r="G419" s="15">
        <v>115.58</v>
      </c>
      <c r="H419" t="s">
        <v>26</v>
      </c>
      <c r="I419">
        <v>2</v>
      </c>
      <c r="J419" t="s">
        <v>47</v>
      </c>
      <c r="K419" t="s">
        <v>45</v>
      </c>
      <c r="L419" t="s">
        <v>45</v>
      </c>
      <c r="M419" t="s">
        <v>78</v>
      </c>
      <c r="N419" s="15">
        <v>126.51</v>
      </c>
      <c r="O419" s="16">
        <v>-8.6</v>
      </c>
      <c r="P419">
        <v>0</v>
      </c>
    </row>
    <row r="420" spans="1:16" x14ac:dyDescent="0.3">
      <c r="A420" t="s">
        <v>57</v>
      </c>
      <c r="B420" t="s">
        <v>17</v>
      </c>
      <c r="C420" t="s">
        <v>17</v>
      </c>
      <c r="D420" t="s">
        <v>10</v>
      </c>
      <c r="E420" t="s">
        <v>58</v>
      </c>
      <c r="F420" t="s">
        <v>9</v>
      </c>
      <c r="G420" s="15">
        <v>170.73</v>
      </c>
      <c r="H420" t="s">
        <v>26</v>
      </c>
      <c r="I420">
        <v>2</v>
      </c>
      <c r="J420" t="s">
        <v>47</v>
      </c>
      <c r="K420" t="s">
        <v>46</v>
      </c>
      <c r="L420" t="s">
        <v>46</v>
      </c>
      <c r="M420" t="s">
        <v>68</v>
      </c>
      <c r="N420" s="15">
        <v>151.19</v>
      </c>
      <c r="O420" s="16">
        <v>12.9</v>
      </c>
      <c r="P420">
        <v>0</v>
      </c>
    </row>
    <row r="421" spans="1:16" x14ac:dyDescent="0.3">
      <c r="A421" t="s">
        <v>57</v>
      </c>
      <c r="B421" t="s">
        <v>17</v>
      </c>
      <c r="C421" t="s">
        <v>17</v>
      </c>
      <c r="D421" t="s">
        <v>10</v>
      </c>
      <c r="E421" t="s">
        <v>69</v>
      </c>
      <c r="F421" t="s">
        <v>9</v>
      </c>
      <c r="G421" s="15">
        <v>159.61000000000001</v>
      </c>
      <c r="H421" t="s">
        <v>26</v>
      </c>
      <c r="I421">
        <v>2</v>
      </c>
      <c r="J421" t="s">
        <v>48</v>
      </c>
      <c r="K421" t="s">
        <v>46</v>
      </c>
      <c r="L421" t="s">
        <v>46</v>
      </c>
      <c r="M421" t="s">
        <v>78</v>
      </c>
      <c r="N421" s="15">
        <v>150.38999999999999</v>
      </c>
      <c r="O421" s="16">
        <v>6.1</v>
      </c>
      <c r="P421">
        <v>0</v>
      </c>
    </row>
    <row r="422" spans="1:16" x14ac:dyDescent="0.3">
      <c r="A422" t="s">
        <v>57</v>
      </c>
      <c r="B422" t="s">
        <v>19</v>
      </c>
      <c r="C422" t="s">
        <v>19</v>
      </c>
      <c r="D422" t="s">
        <v>15</v>
      </c>
      <c r="E422" t="s">
        <v>75</v>
      </c>
      <c r="F422" t="s">
        <v>9</v>
      </c>
      <c r="G422" s="15">
        <v>117.31</v>
      </c>
      <c r="H422" t="s">
        <v>26</v>
      </c>
      <c r="I422">
        <v>2</v>
      </c>
      <c r="J422" t="s">
        <v>48</v>
      </c>
      <c r="K422" t="s">
        <v>45</v>
      </c>
      <c r="L422" t="s">
        <v>45</v>
      </c>
      <c r="M422" t="s">
        <v>61</v>
      </c>
      <c r="N422" s="15">
        <v>120.06</v>
      </c>
      <c r="O422" s="16">
        <v>-2.2999999999999998</v>
      </c>
      <c r="P422">
        <v>0</v>
      </c>
    </row>
    <row r="423" spans="1:16" x14ac:dyDescent="0.3">
      <c r="A423" t="s">
        <v>60</v>
      </c>
      <c r="B423" t="s">
        <v>21</v>
      </c>
      <c r="C423" t="s">
        <v>62</v>
      </c>
      <c r="D423" t="s">
        <v>12</v>
      </c>
      <c r="E423" t="s">
        <v>66</v>
      </c>
      <c r="F423" t="s">
        <v>13</v>
      </c>
      <c r="G423" s="15">
        <v>166.27</v>
      </c>
      <c r="H423" t="s">
        <v>27</v>
      </c>
      <c r="I423">
        <v>3</v>
      </c>
      <c r="J423" t="s">
        <v>48</v>
      </c>
      <c r="K423" t="s">
        <v>45</v>
      </c>
      <c r="L423" t="s">
        <v>45</v>
      </c>
      <c r="M423" t="s">
        <v>68</v>
      </c>
      <c r="N423" s="15">
        <v>168.34</v>
      </c>
      <c r="O423" s="16">
        <v>-1.2</v>
      </c>
      <c r="P423">
        <v>0</v>
      </c>
    </row>
    <row r="424" spans="1:16" x14ac:dyDescent="0.3">
      <c r="A424" t="s">
        <v>65</v>
      </c>
      <c r="B424" t="s">
        <v>21</v>
      </c>
      <c r="C424" t="s">
        <v>62</v>
      </c>
      <c r="D424" t="s">
        <v>10</v>
      </c>
      <c r="E424" t="s">
        <v>58</v>
      </c>
      <c r="F424" t="s">
        <v>9</v>
      </c>
      <c r="G424" s="15">
        <v>198.21</v>
      </c>
      <c r="H424" t="s">
        <v>26</v>
      </c>
      <c r="I424">
        <v>2</v>
      </c>
      <c r="J424" t="s">
        <v>44</v>
      </c>
      <c r="K424" t="s">
        <v>45</v>
      </c>
      <c r="L424" t="s">
        <v>45</v>
      </c>
      <c r="M424" t="s">
        <v>61</v>
      </c>
      <c r="N424" s="15">
        <v>166.29</v>
      </c>
      <c r="O424" s="16">
        <v>19.2</v>
      </c>
      <c r="P424">
        <v>1</v>
      </c>
    </row>
    <row r="425" spans="1:16" x14ac:dyDescent="0.3">
      <c r="A425" t="s">
        <v>57</v>
      </c>
      <c r="B425" t="s">
        <v>17</v>
      </c>
      <c r="C425" t="s">
        <v>17</v>
      </c>
      <c r="D425" t="s">
        <v>12</v>
      </c>
      <c r="E425" t="s">
        <v>66</v>
      </c>
      <c r="F425" t="s">
        <v>13</v>
      </c>
      <c r="G425" s="15">
        <v>198.99</v>
      </c>
      <c r="H425" t="s">
        <v>25</v>
      </c>
      <c r="I425">
        <v>1</v>
      </c>
      <c r="J425" t="s">
        <v>48</v>
      </c>
      <c r="K425" t="s">
        <v>45</v>
      </c>
      <c r="L425" t="s">
        <v>45</v>
      </c>
      <c r="M425" t="s">
        <v>67</v>
      </c>
      <c r="N425" s="15">
        <v>170.56</v>
      </c>
      <c r="O425" s="16">
        <v>16.7</v>
      </c>
      <c r="P425">
        <v>1</v>
      </c>
    </row>
    <row r="426" spans="1:16" x14ac:dyDescent="0.3">
      <c r="A426" t="s">
        <v>60</v>
      </c>
      <c r="B426" t="s">
        <v>19</v>
      </c>
      <c r="C426" t="s">
        <v>19</v>
      </c>
      <c r="D426" t="s">
        <v>11</v>
      </c>
      <c r="E426" t="s">
        <v>79</v>
      </c>
      <c r="F426" t="s">
        <v>9</v>
      </c>
      <c r="G426" s="15">
        <v>25.96</v>
      </c>
      <c r="H426" t="s">
        <v>26</v>
      </c>
      <c r="I426">
        <v>2</v>
      </c>
      <c r="J426" t="s">
        <v>48</v>
      </c>
      <c r="K426" t="s">
        <v>45</v>
      </c>
      <c r="L426" t="s">
        <v>45</v>
      </c>
      <c r="M426" t="s">
        <v>72</v>
      </c>
      <c r="N426" s="15">
        <v>29.14</v>
      </c>
      <c r="O426" s="16">
        <v>-10.9</v>
      </c>
      <c r="P426">
        <v>0</v>
      </c>
    </row>
    <row r="427" spans="1:16" x14ac:dyDescent="0.3">
      <c r="A427" t="s">
        <v>60</v>
      </c>
      <c r="B427" t="s">
        <v>21</v>
      </c>
      <c r="C427" t="s">
        <v>62</v>
      </c>
      <c r="D427" t="s">
        <v>14</v>
      </c>
      <c r="E427" t="s">
        <v>77</v>
      </c>
      <c r="F427" t="s">
        <v>9</v>
      </c>
      <c r="G427" s="15">
        <v>60.86</v>
      </c>
      <c r="H427" t="s">
        <v>26</v>
      </c>
      <c r="I427">
        <v>2</v>
      </c>
      <c r="J427" t="s">
        <v>47</v>
      </c>
      <c r="K427" t="s">
        <v>46</v>
      </c>
      <c r="L427" t="s">
        <v>45</v>
      </c>
      <c r="M427" t="s">
        <v>68</v>
      </c>
      <c r="N427" s="15">
        <v>67.13</v>
      </c>
      <c r="O427" s="16">
        <v>-9.3000000000000007</v>
      </c>
      <c r="P427">
        <v>0</v>
      </c>
    </row>
    <row r="428" spans="1:16" x14ac:dyDescent="0.3">
      <c r="A428" t="s">
        <v>57</v>
      </c>
      <c r="B428" t="s">
        <v>17</v>
      </c>
      <c r="C428" t="s">
        <v>17</v>
      </c>
      <c r="D428" t="s">
        <v>14</v>
      </c>
      <c r="E428" t="s">
        <v>71</v>
      </c>
      <c r="F428" t="s">
        <v>9</v>
      </c>
      <c r="G428" s="15">
        <v>69.41</v>
      </c>
      <c r="H428" t="s">
        <v>25</v>
      </c>
      <c r="I428">
        <v>1</v>
      </c>
      <c r="J428" t="s">
        <v>48</v>
      </c>
      <c r="K428" t="s">
        <v>46</v>
      </c>
      <c r="L428" t="s">
        <v>46</v>
      </c>
      <c r="M428" t="s">
        <v>78</v>
      </c>
      <c r="N428" s="15">
        <v>65.77</v>
      </c>
      <c r="O428" s="16">
        <v>5.5</v>
      </c>
      <c r="P428">
        <v>0</v>
      </c>
    </row>
    <row r="429" spans="1:16" x14ac:dyDescent="0.3">
      <c r="A429" t="s">
        <v>60</v>
      </c>
      <c r="B429" t="s">
        <v>19</v>
      </c>
      <c r="C429" t="s">
        <v>19</v>
      </c>
      <c r="D429" t="s">
        <v>10</v>
      </c>
      <c r="E429" t="s">
        <v>69</v>
      </c>
      <c r="F429" t="s">
        <v>9</v>
      </c>
      <c r="G429" s="15">
        <v>147.46</v>
      </c>
      <c r="H429" t="s">
        <v>26</v>
      </c>
      <c r="I429">
        <v>2</v>
      </c>
      <c r="J429" t="s">
        <v>48</v>
      </c>
      <c r="K429" t="s">
        <v>46</v>
      </c>
      <c r="L429" t="s">
        <v>45</v>
      </c>
      <c r="M429" t="s">
        <v>61</v>
      </c>
      <c r="N429" s="15">
        <v>158.6</v>
      </c>
      <c r="O429" s="16">
        <v>-7</v>
      </c>
      <c r="P429">
        <v>0</v>
      </c>
    </row>
    <row r="430" spans="1:16" x14ac:dyDescent="0.3">
      <c r="A430" t="s">
        <v>65</v>
      </c>
      <c r="B430" t="s">
        <v>21</v>
      </c>
      <c r="C430" t="s">
        <v>62</v>
      </c>
      <c r="D430" t="s">
        <v>15</v>
      </c>
      <c r="E430" t="s">
        <v>75</v>
      </c>
      <c r="F430" t="s">
        <v>9</v>
      </c>
      <c r="G430" s="15">
        <v>113.89</v>
      </c>
      <c r="H430" t="s">
        <v>25</v>
      </c>
      <c r="I430">
        <v>1</v>
      </c>
      <c r="J430" t="s">
        <v>47</v>
      </c>
      <c r="K430" t="s">
        <v>46</v>
      </c>
      <c r="L430" t="s">
        <v>45</v>
      </c>
      <c r="M430" t="s">
        <v>68</v>
      </c>
      <c r="N430" s="15">
        <v>126.9</v>
      </c>
      <c r="O430" s="16">
        <v>-10.3</v>
      </c>
      <c r="P430">
        <v>0</v>
      </c>
    </row>
    <row r="431" spans="1:16" x14ac:dyDescent="0.3">
      <c r="A431" t="s">
        <v>65</v>
      </c>
      <c r="B431" t="s">
        <v>22</v>
      </c>
      <c r="C431" t="s">
        <v>22</v>
      </c>
      <c r="D431" t="s">
        <v>14</v>
      </c>
      <c r="E431" t="s">
        <v>71</v>
      </c>
      <c r="F431" t="s">
        <v>9</v>
      </c>
      <c r="G431" s="15">
        <v>74.55</v>
      </c>
      <c r="H431" t="s">
        <v>25</v>
      </c>
      <c r="I431">
        <v>1</v>
      </c>
      <c r="J431" t="s">
        <v>48</v>
      </c>
      <c r="K431" t="s">
        <v>46</v>
      </c>
      <c r="L431" t="s">
        <v>45</v>
      </c>
      <c r="M431" t="s">
        <v>64</v>
      </c>
      <c r="N431" s="15">
        <v>71.77</v>
      </c>
      <c r="O431" s="16">
        <v>3.9</v>
      </c>
      <c r="P431">
        <v>0</v>
      </c>
    </row>
    <row r="432" spans="1:16" x14ac:dyDescent="0.3">
      <c r="A432" t="s">
        <v>65</v>
      </c>
      <c r="B432" t="s">
        <v>21</v>
      </c>
      <c r="C432" t="s">
        <v>62</v>
      </c>
      <c r="D432" t="s">
        <v>8</v>
      </c>
      <c r="E432" t="s">
        <v>73</v>
      </c>
      <c r="F432" t="s">
        <v>9</v>
      </c>
      <c r="G432" s="15">
        <v>95.91</v>
      </c>
      <c r="H432" t="s">
        <v>27</v>
      </c>
      <c r="I432">
        <v>3</v>
      </c>
      <c r="J432" t="s">
        <v>48</v>
      </c>
      <c r="K432" t="s">
        <v>45</v>
      </c>
      <c r="L432" t="s">
        <v>46</v>
      </c>
      <c r="M432" t="s">
        <v>59</v>
      </c>
      <c r="N432" s="15">
        <v>88.05</v>
      </c>
      <c r="O432" s="16">
        <v>8.9</v>
      </c>
      <c r="P432">
        <v>0</v>
      </c>
    </row>
    <row r="433" spans="1:16" x14ac:dyDescent="0.3">
      <c r="A433" t="s">
        <v>65</v>
      </c>
      <c r="B433" t="s">
        <v>18</v>
      </c>
      <c r="C433" t="s">
        <v>18</v>
      </c>
      <c r="D433" t="s">
        <v>12</v>
      </c>
      <c r="E433" t="s">
        <v>66</v>
      </c>
      <c r="F433" t="s">
        <v>13</v>
      </c>
      <c r="G433" s="15">
        <v>156.05000000000001</v>
      </c>
      <c r="H433" t="s">
        <v>27</v>
      </c>
      <c r="I433">
        <v>3</v>
      </c>
      <c r="J433" t="s">
        <v>48</v>
      </c>
      <c r="K433" t="s">
        <v>45</v>
      </c>
      <c r="L433" t="s">
        <v>45</v>
      </c>
      <c r="M433" t="s">
        <v>67</v>
      </c>
      <c r="N433" s="15">
        <v>178.49</v>
      </c>
      <c r="O433" s="16">
        <v>-12.6</v>
      </c>
      <c r="P433">
        <v>0</v>
      </c>
    </row>
    <row r="434" spans="1:16" x14ac:dyDescent="0.3">
      <c r="A434" t="s">
        <v>65</v>
      </c>
      <c r="B434" t="s">
        <v>22</v>
      </c>
      <c r="C434" t="s">
        <v>22</v>
      </c>
      <c r="D434" t="s">
        <v>12</v>
      </c>
      <c r="E434" t="s">
        <v>66</v>
      </c>
      <c r="F434" t="s">
        <v>13</v>
      </c>
      <c r="G434" s="15">
        <v>198.85</v>
      </c>
      <c r="H434" t="s">
        <v>25</v>
      </c>
      <c r="I434">
        <v>1</v>
      </c>
      <c r="J434" t="s">
        <v>47</v>
      </c>
      <c r="K434" t="s">
        <v>45</v>
      </c>
      <c r="L434" t="s">
        <v>46</v>
      </c>
      <c r="M434" t="s">
        <v>64</v>
      </c>
      <c r="N434" s="15">
        <v>178.49</v>
      </c>
      <c r="O434" s="16">
        <v>11.4</v>
      </c>
      <c r="P434">
        <v>0</v>
      </c>
    </row>
    <row r="435" spans="1:16" x14ac:dyDescent="0.3">
      <c r="A435" t="s">
        <v>57</v>
      </c>
      <c r="B435" t="s">
        <v>21</v>
      </c>
      <c r="C435" t="s">
        <v>62</v>
      </c>
      <c r="D435" t="s">
        <v>14</v>
      </c>
      <c r="E435" t="s">
        <v>63</v>
      </c>
      <c r="F435" t="s">
        <v>9</v>
      </c>
      <c r="G435" s="15">
        <v>64.25</v>
      </c>
      <c r="H435" t="s">
        <v>26</v>
      </c>
      <c r="I435">
        <v>2</v>
      </c>
      <c r="J435" t="s">
        <v>48</v>
      </c>
      <c r="K435" t="s">
        <v>46</v>
      </c>
      <c r="L435" t="s">
        <v>45</v>
      </c>
      <c r="M435" t="s">
        <v>72</v>
      </c>
      <c r="N435" s="15">
        <v>65.16</v>
      </c>
      <c r="O435" s="16">
        <v>-1.4</v>
      </c>
      <c r="P435">
        <v>0</v>
      </c>
    </row>
    <row r="436" spans="1:16" x14ac:dyDescent="0.3">
      <c r="A436" t="s">
        <v>65</v>
      </c>
      <c r="B436" t="s">
        <v>21</v>
      </c>
      <c r="C436" t="s">
        <v>62</v>
      </c>
      <c r="D436" t="s">
        <v>10</v>
      </c>
      <c r="E436" t="s">
        <v>58</v>
      </c>
      <c r="F436" t="s">
        <v>9</v>
      </c>
      <c r="G436" s="15">
        <v>137.43</v>
      </c>
      <c r="H436" t="s">
        <v>26</v>
      </c>
      <c r="I436">
        <v>2</v>
      </c>
      <c r="J436" t="s">
        <v>48</v>
      </c>
      <c r="K436" t="s">
        <v>45</v>
      </c>
      <c r="L436" t="s">
        <v>45</v>
      </c>
      <c r="M436" t="s">
        <v>68</v>
      </c>
      <c r="N436" s="15">
        <v>166.29</v>
      </c>
      <c r="O436" s="16">
        <v>-17.399999999999999</v>
      </c>
      <c r="P436">
        <v>0</v>
      </c>
    </row>
    <row r="437" spans="1:16" x14ac:dyDescent="0.3">
      <c r="A437" t="s">
        <v>60</v>
      </c>
      <c r="B437" t="s">
        <v>17</v>
      </c>
      <c r="C437" t="s">
        <v>17</v>
      </c>
      <c r="D437" t="s">
        <v>10</v>
      </c>
      <c r="E437" t="s">
        <v>58</v>
      </c>
      <c r="F437" t="s">
        <v>9</v>
      </c>
      <c r="G437" s="15">
        <v>153.51</v>
      </c>
      <c r="H437" t="s">
        <v>26</v>
      </c>
      <c r="I437">
        <v>2</v>
      </c>
      <c r="J437" t="s">
        <v>48</v>
      </c>
      <c r="K437" t="s">
        <v>45</v>
      </c>
      <c r="L437" t="s">
        <v>45</v>
      </c>
      <c r="M437" t="s">
        <v>68</v>
      </c>
      <c r="N437" s="15">
        <v>152.03</v>
      </c>
      <c r="O437" s="16">
        <v>1</v>
      </c>
      <c r="P437">
        <v>0</v>
      </c>
    </row>
    <row r="438" spans="1:16" x14ac:dyDescent="0.3">
      <c r="A438" t="s">
        <v>65</v>
      </c>
      <c r="B438" t="s">
        <v>21</v>
      </c>
      <c r="C438" t="s">
        <v>62</v>
      </c>
      <c r="D438" t="s">
        <v>14</v>
      </c>
      <c r="E438" t="s">
        <v>71</v>
      </c>
      <c r="F438" t="s">
        <v>9</v>
      </c>
      <c r="G438" s="15">
        <v>80</v>
      </c>
      <c r="H438" t="s">
        <v>25</v>
      </c>
      <c r="I438">
        <v>1</v>
      </c>
      <c r="J438" t="s">
        <v>44</v>
      </c>
      <c r="K438" t="s">
        <v>45</v>
      </c>
      <c r="L438" t="s">
        <v>45</v>
      </c>
      <c r="M438" t="s">
        <v>64</v>
      </c>
      <c r="N438" s="15">
        <v>71.77</v>
      </c>
      <c r="O438" s="16">
        <v>11.5</v>
      </c>
      <c r="P438">
        <v>0</v>
      </c>
    </row>
    <row r="439" spans="1:16" x14ac:dyDescent="0.3">
      <c r="A439" t="s">
        <v>57</v>
      </c>
      <c r="B439" t="s">
        <v>21</v>
      </c>
      <c r="C439" t="s">
        <v>62</v>
      </c>
      <c r="D439" t="s">
        <v>14</v>
      </c>
      <c r="E439" t="s">
        <v>63</v>
      </c>
      <c r="F439" t="s">
        <v>9</v>
      </c>
      <c r="G439" s="15">
        <v>58.22</v>
      </c>
      <c r="H439" t="s">
        <v>26</v>
      </c>
      <c r="I439">
        <v>2</v>
      </c>
      <c r="J439" t="s">
        <v>48</v>
      </c>
      <c r="K439" t="s">
        <v>46</v>
      </c>
      <c r="L439" t="s">
        <v>45</v>
      </c>
      <c r="M439" t="s">
        <v>68</v>
      </c>
      <c r="N439" s="15">
        <v>65.16</v>
      </c>
      <c r="O439" s="16">
        <v>-10.7</v>
      </c>
      <c r="P439">
        <v>0</v>
      </c>
    </row>
    <row r="440" spans="1:16" x14ac:dyDescent="0.3">
      <c r="A440" t="s">
        <v>65</v>
      </c>
      <c r="B440" t="s">
        <v>22</v>
      </c>
      <c r="C440" t="s">
        <v>22</v>
      </c>
      <c r="D440" t="s">
        <v>12</v>
      </c>
      <c r="E440" t="s">
        <v>66</v>
      </c>
      <c r="F440" t="s">
        <v>13</v>
      </c>
      <c r="G440" s="15">
        <v>200</v>
      </c>
      <c r="H440" t="s">
        <v>25</v>
      </c>
      <c r="I440">
        <v>1</v>
      </c>
      <c r="J440" t="s">
        <v>47</v>
      </c>
      <c r="K440" t="s">
        <v>45</v>
      </c>
      <c r="L440" t="s">
        <v>45</v>
      </c>
      <c r="M440" t="s">
        <v>59</v>
      </c>
      <c r="N440" s="15">
        <v>178.49</v>
      </c>
      <c r="O440" s="16">
        <v>12.1</v>
      </c>
      <c r="P440">
        <v>0</v>
      </c>
    </row>
    <row r="441" spans="1:16" x14ac:dyDescent="0.3">
      <c r="A441" t="s">
        <v>60</v>
      </c>
      <c r="B441" t="s">
        <v>21</v>
      </c>
      <c r="C441" t="s">
        <v>62</v>
      </c>
      <c r="D441" t="s">
        <v>10</v>
      </c>
      <c r="E441" t="s">
        <v>58</v>
      </c>
      <c r="F441" t="s">
        <v>9</v>
      </c>
      <c r="G441" s="15">
        <v>129.13</v>
      </c>
      <c r="H441" t="s">
        <v>26</v>
      </c>
      <c r="I441">
        <v>2</v>
      </c>
      <c r="J441" t="s">
        <v>48</v>
      </c>
      <c r="K441" t="s">
        <v>46</v>
      </c>
      <c r="L441" t="s">
        <v>45</v>
      </c>
      <c r="M441" t="s">
        <v>72</v>
      </c>
      <c r="N441" s="15">
        <v>152.03</v>
      </c>
      <c r="O441" s="16">
        <v>-15.1</v>
      </c>
      <c r="P441">
        <v>0</v>
      </c>
    </row>
    <row r="442" spans="1:16" x14ac:dyDescent="0.3">
      <c r="A442" t="s">
        <v>57</v>
      </c>
      <c r="B442" t="s">
        <v>18</v>
      </c>
      <c r="C442" t="s">
        <v>18</v>
      </c>
      <c r="D442" t="s">
        <v>8</v>
      </c>
      <c r="E442" t="s">
        <v>73</v>
      </c>
      <c r="F442" t="s">
        <v>9</v>
      </c>
      <c r="G442" s="15">
        <v>73.430000000000007</v>
      </c>
      <c r="H442" t="s">
        <v>27</v>
      </c>
      <c r="I442">
        <v>3</v>
      </c>
      <c r="J442" t="s">
        <v>48</v>
      </c>
      <c r="K442" t="s">
        <v>45</v>
      </c>
      <c r="L442" t="s">
        <v>45</v>
      </c>
      <c r="M442" t="s">
        <v>78</v>
      </c>
      <c r="N442" s="15">
        <v>86.06</v>
      </c>
      <c r="O442" s="16">
        <v>-14.7</v>
      </c>
      <c r="P442">
        <v>0</v>
      </c>
    </row>
    <row r="443" spans="1:16" x14ac:dyDescent="0.3">
      <c r="A443" t="s">
        <v>65</v>
      </c>
      <c r="B443" t="s">
        <v>17</v>
      </c>
      <c r="C443" t="s">
        <v>17</v>
      </c>
      <c r="D443" t="s">
        <v>14</v>
      </c>
      <c r="E443" t="s">
        <v>71</v>
      </c>
      <c r="F443" t="s">
        <v>9</v>
      </c>
      <c r="G443" s="15">
        <v>75.89</v>
      </c>
      <c r="H443" t="s">
        <v>26</v>
      </c>
      <c r="I443">
        <v>2</v>
      </c>
      <c r="J443" t="s">
        <v>47</v>
      </c>
      <c r="K443" t="s">
        <v>45</v>
      </c>
      <c r="L443" t="s">
        <v>46</v>
      </c>
      <c r="M443" t="s">
        <v>68</v>
      </c>
      <c r="N443" s="15">
        <v>71.77</v>
      </c>
      <c r="O443" s="16">
        <v>5.7</v>
      </c>
      <c r="P443">
        <v>0</v>
      </c>
    </row>
    <row r="444" spans="1:16" x14ac:dyDescent="0.3">
      <c r="A444" t="s">
        <v>57</v>
      </c>
      <c r="B444" t="s">
        <v>22</v>
      </c>
      <c r="C444" t="s">
        <v>22</v>
      </c>
      <c r="D444" t="s">
        <v>12</v>
      </c>
      <c r="E444" t="s">
        <v>80</v>
      </c>
      <c r="F444" t="s">
        <v>13</v>
      </c>
      <c r="G444" s="15">
        <v>164.72</v>
      </c>
      <c r="H444" t="s">
        <v>25</v>
      </c>
      <c r="I444">
        <v>1</v>
      </c>
      <c r="J444" t="s">
        <v>48</v>
      </c>
      <c r="K444" t="s">
        <v>45</v>
      </c>
      <c r="L444" t="s">
        <v>45</v>
      </c>
      <c r="M444" t="s">
        <v>67</v>
      </c>
      <c r="N444" s="15">
        <v>162.72999999999999</v>
      </c>
      <c r="O444" s="16">
        <v>1.2</v>
      </c>
      <c r="P444">
        <v>0</v>
      </c>
    </row>
    <row r="445" spans="1:16" x14ac:dyDescent="0.3">
      <c r="A445" t="s">
        <v>60</v>
      </c>
      <c r="B445" t="s">
        <v>18</v>
      </c>
      <c r="C445" t="s">
        <v>18</v>
      </c>
      <c r="D445" t="s">
        <v>8</v>
      </c>
      <c r="E445" t="s">
        <v>74</v>
      </c>
      <c r="F445" t="s">
        <v>9</v>
      </c>
      <c r="G445" s="15">
        <v>76.290000000000006</v>
      </c>
      <c r="H445" t="s">
        <v>26</v>
      </c>
      <c r="I445">
        <v>2</v>
      </c>
      <c r="J445" t="s">
        <v>47</v>
      </c>
      <c r="K445" t="s">
        <v>46</v>
      </c>
      <c r="L445" t="s">
        <v>45</v>
      </c>
      <c r="M445" t="s">
        <v>68</v>
      </c>
      <c r="N445" s="15">
        <v>78.260000000000005</v>
      </c>
      <c r="O445" s="16">
        <v>-2.5</v>
      </c>
      <c r="P445">
        <v>0</v>
      </c>
    </row>
    <row r="446" spans="1:16" x14ac:dyDescent="0.3">
      <c r="A446" t="s">
        <v>65</v>
      </c>
      <c r="B446" t="s">
        <v>22</v>
      </c>
      <c r="C446" t="s">
        <v>22</v>
      </c>
      <c r="D446" t="s">
        <v>15</v>
      </c>
      <c r="E446" t="s">
        <v>76</v>
      </c>
      <c r="F446" t="s">
        <v>9</v>
      </c>
      <c r="G446" s="15">
        <v>107.37</v>
      </c>
      <c r="H446" t="s">
        <v>26</v>
      </c>
      <c r="I446">
        <v>2</v>
      </c>
      <c r="J446" t="s">
        <v>47</v>
      </c>
      <c r="K446" t="s">
        <v>46</v>
      </c>
      <c r="L446" t="s">
        <v>45</v>
      </c>
      <c r="M446" t="s">
        <v>61</v>
      </c>
      <c r="N446" s="15">
        <v>126.51</v>
      </c>
      <c r="O446" s="16">
        <v>-15.1</v>
      </c>
      <c r="P446">
        <v>0</v>
      </c>
    </row>
    <row r="447" spans="1:16" x14ac:dyDescent="0.3">
      <c r="A447" t="s">
        <v>57</v>
      </c>
      <c r="B447" t="s">
        <v>18</v>
      </c>
      <c r="C447" t="s">
        <v>18</v>
      </c>
      <c r="D447" t="s">
        <v>14</v>
      </c>
      <c r="E447" t="s">
        <v>71</v>
      </c>
      <c r="F447" t="s">
        <v>9</v>
      </c>
      <c r="G447" s="15">
        <v>62.72</v>
      </c>
      <c r="H447" t="s">
        <v>26</v>
      </c>
      <c r="I447">
        <v>2</v>
      </c>
      <c r="J447" t="s">
        <v>48</v>
      </c>
      <c r="K447" t="s">
        <v>46</v>
      </c>
      <c r="L447" t="s">
        <v>45</v>
      </c>
      <c r="M447" t="s">
        <v>59</v>
      </c>
      <c r="N447" s="15">
        <v>65.77</v>
      </c>
      <c r="O447" s="16">
        <v>-4.5999999999999996</v>
      </c>
      <c r="P447">
        <v>0</v>
      </c>
    </row>
    <row r="448" spans="1:16" x14ac:dyDescent="0.3">
      <c r="A448" t="s">
        <v>65</v>
      </c>
      <c r="B448" t="s">
        <v>19</v>
      </c>
      <c r="C448" t="s">
        <v>19</v>
      </c>
      <c r="D448" t="s">
        <v>15</v>
      </c>
      <c r="E448" t="s">
        <v>76</v>
      </c>
      <c r="F448" t="s">
        <v>9</v>
      </c>
      <c r="G448" s="15">
        <v>140</v>
      </c>
      <c r="H448" t="s">
        <v>25</v>
      </c>
      <c r="I448">
        <v>1</v>
      </c>
      <c r="J448" t="s">
        <v>47</v>
      </c>
      <c r="K448" t="s">
        <v>45</v>
      </c>
      <c r="L448" t="s">
        <v>46</v>
      </c>
      <c r="M448" t="s">
        <v>61</v>
      </c>
      <c r="N448" s="15">
        <v>126.51</v>
      </c>
      <c r="O448" s="16">
        <v>10.7</v>
      </c>
      <c r="P448">
        <v>0</v>
      </c>
    </row>
    <row r="449" spans="1:16" x14ac:dyDescent="0.3">
      <c r="A449" t="s">
        <v>57</v>
      </c>
      <c r="B449" t="s">
        <v>21</v>
      </c>
      <c r="C449" t="s">
        <v>62</v>
      </c>
      <c r="D449" t="s">
        <v>10</v>
      </c>
      <c r="E449" t="s">
        <v>69</v>
      </c>
      <c r="F449" t="s">
        <v>9</v>
      </c>
      <c r="G449" s="15">
        <v>183.9</v>
      </c>
      <c r="H449" t="s">
        <v>25</v>
      </c>
      <c r="I449">
        <v>1</v>
      </c>
      <c r="J449" t="s">
        <v>48</v>
      </c>
      <c r="K449" t="s">
        <v>45</v>
      </c>
      <c r="L449" t="s">
        <v>46</v>
      </c>
      <c r="M449" t="s">
        <v>59</v>
      </c>
      <c r="N449" s="15">
        <v>150.38999999999999</v>
      </c>
      <c r="O449" s="16">
        <v>22.3</v>
      </c>
      <c r="P449">
        <v>1</v>
      </c>
    </row>
    <row r="450" spans="1:16" x14ac:dyDescent="0.3">
      <c r="A450" t="s">
        <v>57</v>
      </c>
      <c r="B450" t="s">
        <v>19</v>
      </c>
      <c r="C450" t="s">
        <v>19</v>
      </c>
      <c r="D450" t="s">
        <v>10</v>
      </c>
      <c r="E450" t="s">
        <v>58</v>
      </c>
      <c r="F450" t="s">
        <v>9</v>
      </c>
      <c r="G450" s="15">
        <v>132.11000000000001</v>
      </c>
      <c r="H450" t="s">
        <v>26</v>
      </c>
      <c r="I450">
        <v>2</v>
      </c>
      <c r="J450" t="s">
        <v>48</v>
      </c>
      <c r="K450" t="s">
        <v>46</v>
      </c>
      <c r="L450" t="s">
        <v>46</v>
      </c>
      <c r="M450" t="s">
        <v>67</v>
      </c>
      <c r="N450" s="15">
        <v>151.19</v>
      </c>
      <c r="O450" s="16">
        <v>-12.6</v>
      </c>
      <c r="P450">
        <v>0</v>
      </c>
    </row>
    <row r="451" spans="1:16" x14ac:dyDescent="0.3">
      <c r="A451" t="s">
        <v>60</v>
      </c>
      <c r="B451" t="s">
        <v>20</v>
      </c>
      <c r="C451" t="s">
        <v>20</v>
      </c>
      <c r="D451" t="s">
        <v>12</v>
      </c>
      <c r="E451" t="s">
        <v>80</v>
      </c>
      <c r="F451" t="s">
        <v>13</v>
      </c>
      <c r="G451" s="15">
        <v>135.83000000000001</v>
      </c>
      <c r="H451" t="s">
        <v>27</v>
      </c>
      <c r="I451">
        <v>3</v>
      </c>
      <c r="J451" t="s">
        <v>47</v>
      </c>
      <c r="K451" t="s">
        <v>46</v>
      </c>
      <c r="L451" t="s">
        <v>45</v>
      </c>
      <c r="M451" t="s">
        <v>61</v>
      </c>
      <c r="N451" s="15">
        <v>167.63</v>
      </c>
      <c r="O451" s="16">
        <v>-19</v>
      </c>
      <c r="P451">
        <v>0</v>
      </c>
    </row>
    <row r="452" spans="1:16" x14ac:dyDescent="0.3">
      <c r="A452" t="s">
        <v>57</v>
      </c>
      <c r="B452" t="s">
        <v>21</v>
      </c>
      <c r="C452" t="s">
        <v>62</v>
      </c>
      <c r="D452" t="s">
        <v>8</v>
      </c>
      <c r="E452" t="s">
        <v>73</v>
      </c>
      <c r="F452" t="s">
        <v>9</v>
      </c>
      <c r="G452" s="15">
        <v>88.78</v>
      </c>
      <c r="H452" t="s">
        <v>27</v>
      </c>
      <c r="I452">
        <v>3</v>
      </c>
      <c r="J452" t="s">
        <v>48</v>
      </c>
      <c r="K452" t="s">
        <v>46</v>
      </c>
      <c r="L452" t="s">
        <v>45</v>
      </c>
      <c r="M452" t="s">
        <v>72</v>
      </c>
      <c r="N452" s="15">
        <v>86.06</v>
      </c>
      <c r="O452" s="16">
        <v>3.2</v>
      </c>
      <c r="P452">
        <v>0</v>
      </c>
    </row>
    <row r="453" spans="1:16" x14ac:dyDescent="0.3">
      <c r="A453" t="s">
        <v>65</v>
      </c>
      <c r="B453" t="s">
        <v>21</v>
      </c>
      <c r="C453" t="s">
        <v>62</v>
      </c>
      <c r="D453" t="s">
        <v>11</v>
      </c>
      <c r="E453" t="s">
        <v>70</v>
      </c>
      <c r="F453" t="s">
        <v>9</v>
      </c>
      <c r="G453" s="15">
        <v>28.25</v>
      </c>
      <c r="H453" t="s">
        <v>27</v>
      </c>
      <c r="I453">
        <v>3</v>
      </c>
      <c r="J453" t="s">
        <v>47</v>
      </c>
      <c r="K453" t="s">
        <v>45</v>
      </c>
      <c r="L453" t="s">
        <v>45</v>
      </c>
      <c r="M453" t="s">
        <v>64</v>
      </c>
      <c r="N453" s="15">
        <v>32.630000000000003</v>
      </c>
      <c r="O453" s="16">
        <v>-13.4</v>
      </c>
      <c r="P453">
        <v>0</v>
      </c>
    </row>
    <row r="454" spans="1:16" x14ac:dyDescent="0.3">
      <c r="A454" t="s">
        <v>65</v>
      </c>
      <c r="B454" t="s">
        <v>19</v>
      </c>
      <c r="C454" t="s">
        <v>19</v>
      </c>
      <c r="D454" t="s">
        <v>12</v>
      </c>
      <c r="E454" t="s">
        <v>66</v>
      </c>
      <c r="F454" t="s">
        <v>13</v>
      </c>
      <c r="G454" s="15">
        <v>192.86</v>
      </c>
      <c r="H454" t="s">
        <v>27</v>
      </c>
      <c r="I454">
        <v>3</v>
      </c>
      <c r="J454" t="s">
        <v>47</v>
      </c>
      <c r="K454" t="s">
        <v>45</v>
      </c>
      <c r="L454" t="s">
        <v>46</v>
      </c>
      <c r="M454" t="s">
        <v>64</v>
      </c>
      <c r="N454" s="15">
        <v>178.49</v>
      </c>
      <c r="O454" s="16">
        <v>8.1</v>
      </c>
      <c r="P454">
        <v>0</v>
      </c>
    </row>
    <row r="455" spans="1:16" x14ac:dyDescent="0.3">
      <c r="A455" t="s">
        <v>60</v>
      </c>
      <c r="B455" t="s">
        <v>22</v>
      </c>
      <c r="C455" t="s">
        <v>22</v>
      </c>
      <c r="D455" t="s">
        <v>14</v>
      </c>
      <c r="E455" t="s">
        <v>71</v>
      </c>
      <c r="F455" t="s">
        <v>9</v>
      </c>
      <c r="G455" s="15">
        <v>61.37</v>
      </c>
      <c r="H455" t="s">
        <v>27</v>
      </c>
      <c r="I455">
        <v>3</v>
      </c>
      <c r="J455" t="s">
        <v>48</v>
      </c>
      <c r="K455" t="s">
        <v>46</v>
      </c>
      <c r="L455" t="s">
        <v>46</v>
      </c>
      <c r="M455" t="s">
        <v>68</v>
      </c>
      <c r="N455" s="15">
        <v>65.239999999999995</v>
      </c>
      <c r="O455" s="16">
        <v>-5.9</v>
      </c>
      <c r="P455">
        <v>0</v>
      </c>
    </row>
    <row r="456" spans="1:16" x14ac:dyDescent="0.3">
      <c r="A456" t="s">
        <v>57</v>
      </c>
      <c r="B456" t="s">
        <v>19</v>
      </c>
      <c r="C456" t="s">
        <v>19</v>
      </c>
      <c r="D456" t="s">
        <v>15</v>
      </c>
      <c r="E456" t="s">
        <v>75</v>
      </c>
      <c r="F456" t="s">
        <v>9</v>
      </c>
      <c r="G456" s="15">
        <v>140</v>
      </c>
      <c r="H456" t="s">
        <v>25</v>
      </c>
      <c r="I456">
        <v>1</v>
      </c>
      <c r="J456" t="s">
        <v>44</v>
      </c>
      <c r="K456" t="s">
        <v>46</v>
      </c>
      <c r="L456" t="s">
        <v>45</v>
      </c>
      <c r="M456" t="s">
        <v>72</v>
      </c>
      <c r="N456" s="15">
        <v>120.06</v>
      </c>
      <c r="O456" s="16">
        <v>16.600000000000001</v>
      </c>
      <c r="P456">
        <v>1</v>
      </c>
    </row>
    <row r="457" spans="1:16" x14ac:dyDescent="0.3">
      <c r="A457" t="s">
        <v>60</v>
      </c>
      <c r="B457" t="s">
        <v>19</v>
      </c>
      <c r="C457" t="s">
        <v>19</v>
      </c>
      <c r="D457" t="s">
        <v>11</v>
      </c>
      <c r="E457" t="s">
        <v>79</v>
      </c>
      <c r="F457" t="s">
        <v>9</v>
      </c>
      <c r="G457" s="15">
        <v>29.07</v>
      </c>
      <c r="H457" t="s">
        <v>26</v>
      </c>
      <c r="I457">
        <v>2</v>
      </c>
      <c r="J457" t="s">
        <v>48</v>
      </c>
      <c r="K457" t="s">
        <v>46</v>
      </c>
      <c r="L457" t="s">
        <v>45</v>
      </c>
      <c r="M457" t="s">
        <v>72</v>
      </c>
      <c r="N457" s="15">
        <v>29.14</v>
      </c>
      <c r="O457" s="16">
        <v>-0.3</v>
      </c>
      <c r="P457">
        <v>0</v>
      </c>
    </row>
    <row r="458" spans="1:16" x14ac:dyDescent="0.3">
      <c r="A458" t="s">
        <v>57</v>
      </c>
      <c r="B458" t="s">
        <v>21</v>
      </c>
      <c r="C458" t="s">
        <v>62</v>
      </c>
      <c r="D458" t="s">
        <v>14</v>
      </c>
      <c r="E458" t="s">
        <v>77</v>
      </c>
      <c r="F458" t="s">
        <v>9</v>
      </c>
      <c r="G458" s="15">
        <v>62.6</v>
      </c>
      <c r="H458" t="s">
        <v>27</v>
      </c>
      <c r="I458">
        <v>3</v>
      </c>
      <c r="J458" t="s">
        <v>48</v>
      </c>
      <c r="K458" t="s">
        <v>45</v>
      </c>
      <c r="L458" t="s">
        <v>45</v>
      </c>
      <c r="M458" t="s">
        <v>72</v>
      </c>
      <c r="N458" s="15">
        <v>65.97</v>
      </c>
      <c r="O458" s="16">
        <v>-5.0999999999999996</v>
      </c>
      <c r="P458">
        <v>0</v>
      </c>
    </row>
    <row r="459" spans="1:16" x14ac:dyDescent="0.3">
      <c r="A459" t="s">
        <v>65</v>
      </c>
      <c r="B459" t="s">
        <v>21</v>
      </c>
      <c r="C459" t="s">
        <v>62</v>
      </c>
      <c r="D459" t="s">
        <v>10</v>
      </c>
      <c r="E459" t="s">
        <v>58</v>
      </c>
      <c r="F459" t="s">
        <v>9</v>
      </c>
      <c r="G459" s="15">
        <v>192.31</v>
      </c>
      <c r="H459" t="s">
        <v>26</v>
      </c>
      <c r="I459">
        <v>2</v>
      </c>
      <c r="J459" t="s">
        <v>47</v>
      </c>
      <c r="K459" t="s">
        <v>45</v>
      </c>
      <c r="L459" t="s">
        <v>46</v>
      </c>
      <c r="M459" t="s">
        <v>61</v>
      </c>
      <c r="N459" s="15">
        <v>166.29</v>
      </c>
      <c r="O459" s="16">
        <v>15.6</v>
      </c>
      <c r="P459">
        <v>1</v>
      </c>
    </row>
    <row r="460" spans="1:16" x14ac:dyDescent="0.3">
      <c r="A460" t="s">
        <v>57</v>
      </c>
      <c r="B460" t="s">
        <v>21</v>
      </c>
      <c r="C460" t="s">
        <v>62</v>
      </c>
      <c r="D460" t="s">
        <v>11</v>
      </c>
      <c r="E460" t="s">
        <v>70</v>
      </c>
      <c r="F460" t="s">
        <v>9</v>
      </c>
      <c r="G460" s="15">
        <v>24.25</v>
      </c>
      <c r="H460" t="s">
        <v>26</v>
      </c>
      <c r="I460">
        <v>2</v>
      </c>
      <c r="J460" t="s">
        <v>47</v>
      </c>
      <c r="K460" t="s">
        <v>46</v>
      </c>
      <c r="L460" t="s">
        <v>45</v>
      </c>
      <c r="M460" t="s">
        <v>72</v>
      </c>
      <c r="N460" s="15">
        <v>30.5</v>
      </c>
      <c r="O460" s="16">
        <v>-20.5</v>
      </c>
      <c r="P460">
        <v>0</v>
      </c>
    </row>
    <row r="461" spans="1:16" x14ac:dyDescent="0.3">
      <c r="A461" t="s">
        <v>57</v>
      </c>
      <c r="B461" t="s">
        <v>22</v>
      </c>
      <c r="C461" t="s">
        <v>22</v>
      </c>
      <c r="D461" t="s">
        <v>8</v>
      </c>
      <c r="E461" t="s">
        <v>73</v>
      </c>
      <c r="F461" t="s">
        <v>9</v>
      </c>
      <c r="G461" s="15">
        <v>87.42</v>
      </c>
      <c r="H461" t="s">
        <v>25</v>
      </c>
      <c r="I461">
        <v>1</v>
      </c>
      <c r="J461" t="s">
        <v>48</v>
      </c>
      <c r="K461" t="s">
        <v>45</v>
      </c>
      <c r="L461" t="s">
        <v>45</v>
      </c>
      <c r="M461" t="s">
        <v>72</v>
      </c>
      <c r="N461" s="15">
        <v>86.06</v>
      </c>
      <c r="O461" s="16">
        <v>1.6</v>
      </c>
      <c r="P461">
        <v>0</v>
      </c>
    </row>
    <row r="462" spans="1:16" x14ac:dyDescent="0.3">
      <c r="A462" t="s">
        <v>60</v>
      </c>
      <c r="B462" t="s">
        <v>18</v>
      </c>
      <c r="C462" t="s">
        <v>18</v>
      </c>
      <c r="D462" t="s">
        <v>10</v>
      </c>
      <c r="E462" t="s">
        <v>69</v>
      </c>
      <c r="F462" t="s">
        <v>9</v>
      </c>
      <c r="G462" s="15">
        <v>129.9</v>
      </c>
      <c r="H462" t="s">
        <v>26</v>
      </c>
      <c r="I462">
        <v>2</v>
      </c>
      <c r="J462" t="s">
        <v>48</v>
      </c>
      <c r="K462" t="s">
        <v>46</v>
      </c>
      <c r="L462" t="s">
        <v>45</v>
      </c>
      <c r="M462" t="s">
        <v>68</v>
      </c>
      <c r="N462" s="15">
        <v>158.6</v>
      </c>
      <c r="O462" s="16">
        <v>-18.100000000000001</v>
      </c>
      <c r="P462">
        <v>0</v>
      </c>
    </row>
    <row r="463" spans="1:16" x14ac:dyDescent="0.3">
      <c r="A463" t="s">
        <v>57</v>
      </c>
      <c r="B463" t="s">
        <v>19</v>
      </c>
      <c r="C463" t="s">
        <v>19</v>
      </c>
      <c r="D463" t="s">
        <v>15</v>
      </c>
      <c r="E463" t="s">
        <v>76</v>
      </c>
      <c r="F463" t="s">
        <v>9</v>
      </c>
      <c r="G463" s="15">
        <v>102.97</v>
      </c>
      <c r="H463" t="s">
        <v>27</v>
      </c>
      <c r="I463">
        <v>3</v>
      </c>
      <c r="J463" t="s">
        <v>48</v>
      </c>
      <c r="K463" t="s">
        <v>45</v>
      </c>
      <c r="L463" t="s">
        <v>45</v>
      </c>
      <c r="M463" t="s">
        <v>64</v>
      </c>
      <c r="N463" s="15">
        <v>118.59</v>
      </c>
      <c r="O463" s="16">
        <v>-13.2</v>
      </c>
      <c r="P463">
        <v>0</v>
      </c>
    </row>
    <row r="464" spans="1:16" x14ac:dyDescent="0.3">
      <c r="A464" t="s">
        <v>65</v>
      </c>
      <c r="B464" t="s">
        <v>21</v>
      </c>
      <c r="C464" t="s">
        <v>62</v>
      </c>
      <c r="D464" t="s">
        <v>14</v>
      </c>
      <c r="E464" t="s">
        <v>63</v>
      </c>
      <c r="F464" t="s">
        <v>9</v>
      </c>
      <c r="G464" s="15">
        <v>66.569999999999993</v>
      </c>
      <c r="H464" t="s">
        <v>25</v>
      </c>
      <c r="I464">
        <v>1</v>
      </c>
      <c r="J464" t="s">
        <v>48</v>
      </c>
      <c r="K464" t="s">
        <v>45</v>
      </c>
      <c r="L464" t="s">
        <v>46</v>
      </c>
      <c r="M464" t="s">
        <v>68</v>
      </c>
      <c r="N464" s="15">
        <v>68.150000000000006</v>
      </c>
      <c r="O464" s="16">
        <v>-2.2999999999999998</v>
      </c>
      <c r="P464">
        <v>0</v>
      </c>
    </row>
    <row r="465" spans="1:16" x14ac:dyDescent="0.3">
      <c r="A465" t="s">
        <v>57</v>
      </c>
      <c r="B465" t="s">
        <v>17</v>
      </c>
      <c r="C465" t="s">
        <v>17</v>
      </c>
      <c r="D465" t="s">
        <v>15</v>
      </c>
      <c r="E465" t="s">
        <v>75</v>
      </c>
      <c r="F465" t="s">
        <v>9</v>
      </c>
      <c r="G465" s="15">
        <v>126.29</v>
      </c>
      <c r="H465" t="s">
        <v>25</v>
      </c>
      <c r="I465">
        <v>1</v>
      </c>
      <c r="J465" t="s">
        <v>48</v>
      </c>
      <c r="K465" t="s">
        <v>45</v>
      </c>
      <c r="L465" t="s">
        <v>45</v>
      </c>
      <c r="M465" t="s">
        <v>68</v>
      </c>
      <c r="N465" s="15">
        <v>120.06</v>
      </c>
      <c r="O465" s="16">
        <v>5.2</v>
      </c>
      <c r="P465">
        <v>0</v>
      </c>
    </row>
    <row r="466" spans="1:16" x14ac:dyDescent="0.3">
      <c r="A466" t="s">
        <v>57</v>
      </c>
      <c r="B466" t="s">
        <v>22</v>
      </c>
      <c r="C466" t="s">
        <v>22</v>
      </c>
      <c r="D466" t="s">
        <v>11</v>
      </c>
      <c r="E466" t="s">
        <v>79</v>
      </c>
      <c r="F466" t="s">
        <v>9</v>
      </c>
      <c r="G466" s="15">
        <v>29.54</v>
      </c>
      <c r="H466" t="s">
        <v>26</v>
      </c>
      <c r="I466">
        <v>2</v>
      </c>
      <c r="J466" t="s">
        <v>48</v>
      </c>
      <c r="K466" t="s">
        <v>46</v>
      </c>
      <c r="L466" t="s">
        <v>45</v>
      </c>
      <c r="M466" t="s">
        <v>67</v>
      </c>
      <c r="N466" s="15">
        <v>30.93</v>
      </c>
      <c r="O466" s="16">
        <v>-4.5</v>
      </c>
      <c r="P466">
        <v>0</v>
      </c>
    </row>
    <row r="467" spans="1:16" x14ac:dyDescent="0.3">
      <c r="A467" t="s">
        <v>57</v>
      </c>
      <c r="B467" t="s">
        <v>22</v>
      </c>
      <c r="C467" t="s">
        <v>22</v>
      </c>
      <c r="D467" t="s">
        <v>12</v>
      </c>
      <c r="E467" t="s">
        <v>66</v>
      </c>
      <c r="F467" t="s">
        <v>13</v>
      </c>
      <c r="G467" s="15">
        <v>165.34</v>
      </c>
      <c r="H467" t="s">
        <v>26</v>
      </c>
      <c r="I467">
        <v>2</v>
      </c>
      <c r="J467" t="s">
        <v>48</v>
      </c>
      <c r="K467" t="s">
        <v>45</v>
      </c>
      <c r="L467" t="s">
        <v>46</v>
      </c>
      <c r="M467" t="s">
        <v>72</v>
      </c>
      <c r="N467" s="15">
        <v>170.56</v>
      </c>
      <c r="O467" s="16">
        <v>-3.1</v>
      </c>
      <c r="P467">
        <v>0</v>
      </c>
    </row>
    <row r="468" spans="1:16" x14ac:dyDescent="0.3">
      <c r="A468" t="s">
        <v>57</v>
      </c>
      <c r="B468" t="s">
        <v>22</v>
      </c>
      <c r="C468" t="s">
        <v>22</v>
      </c>
      <c r="D468" t="s">
        <v>11</v>
      </c>
      <c r="E468" t="s">
        <v>79</v>
      </c>
      <c r="F468" t="s">
        <v>9</v>
      </c>
      <c r="G468" s="15">
        <v>27.17</v>
      </c>
      <c r="H468" t="s">
        <v>27</v>
      </c>
      <c r="I468">
        <v>3</v>
      </c>
      <c r="J468" t="s">
        <v>48</v>
      </c>
      <c r="K468" t="s">
        <v>46</v>
      </c>
      <c r="L468" t="s">
        <v>45</v>
      </c>
      <c r="M468" t="s">
        <v>67</v>
      </c>
      <c r="N468" s="15">
        <v>30.93</v>
      </c>
      <c r="O468" s="16">
        <v>-12.2</v>
      </c>
      <c r="P468">
        <v>0</v>
      </c>
    </row>
    <row r="469" spans="1:16" x14ac:dyDescent="0.3">
      <c r="A469" t="s">
        <v>57</v>
      </c>
      <c r="B469" t="s">
        <v>17</v>
      </c>
      <c r="C469" t="s">
        <v>17</v>
      </c>
      <c r="D469" t="s">
        <v>14</v>
      </c>
      <c r="E469" t="s">
        <v>77</v>
      </c>
      <c r="F469" t="s">
        <v>9</v>
      </c>
      <c r="G469" s="15">
        <v>68.430000000000007</v>
      </c>
      <c r="H469" t="s">
        <v>26</v>
      </c>
      <c r="I469">
        <v>2</v>
      </c>
      <c r="J469" t="s">
        <v>47</v>
      </c>
      <c r="K469" t="s">
        <v>46</v>
      </c>
      <c r="L469" t="s">
        <v>45</v>
      </c>
      <c r="M469" t="s">
        <v>64</v>
      </c>
      <c r="N469" s="15">
        <v>65.97</v>
      </c>
      <c r="O469" s="16">
        <v>3.7</v>
      </c>
      <c r="P469">
        <v>0</v>
      </c>
    </row>
    <row r="470" spans="1:16" x14ac:dyDescent="0.3">
      <c r="A470" t="s">
        <v>57</v>
      </c>
      <c r="B470" t="s">
        <v>20</v>
      </c>
      <c r="C470" t="s">
        <v>20</v>
      </c>
      <c r="D470" t="s">
        <v>15</v>
      </c>
      <c r="E470" t="s">
        <v>76</v>
      </c>
      <c r="F470" t="s">
        <v>9</v>
      </c>
      <c r="G470" s="15">
        <v>110.8</v>
      </c>
      <c r="H470" t="s">
        <v>26</v>
      </c>
      <c r="I470">
        <v>2</v>
      </c>
      <c r="J470" t="s">
        <v>48</v>
      </c>
      <c r="K470" t="s">
        <v>46</v>
      </c>
      <c r="L470" t="s">
        <v>45</v>
      </c>
      <c r="M470" t="s">
        <v>72</v>
      </c>
      <c r="N470" s="15">
        <v>118.59</v>
      </c>
      <c r="O470" s="16">
        <v>-6.6</v>
      </c>
      <c r="P470">
        <v>0</v>
      </c>
    </row>
    <row r="471" spans="1:16" x14ac:dyDescent="0.3">
      <c r="A471" t="s">
        <v>65</v>
      </c>
      <c r="B471" t="s">
        <v>20</v>
      </c>
      <c r="C471" t="s">
        <v>20</v>
      </c>
      <c r="D471" t="s">
        <v>15</v>
      </c>
      <c r="E471" t="s">
        <v>76</v>
      </c>
      <c r="F471" t="s">
        <v>9</v>
      </c>
      <c r="G471" s="15">
        <v>124.79</v>
      </c>
      <c r="H471" t="s">
        <v>25</v>
      </c>
      <c r="I471">
        <v>1</v>
      </c>
      <c r="J471" t="s">
        <v>47</v>
      </c>
      <c r="K471" t="s">
        <v>46</v>
      </c>
      <c r="L471" t="s">
        <v>45</v>
      </c>
      <c r="M471" t="s">
        <v>67</v>
      </c>
      <c r="N471" s="15">
        <v>126.51</v>
      </c>
      <c r="O471" s="16">
        <v>-1.4</v>
      </c>
      <c r="P471">
        <v>0</v>
      </c>
    </row>
    <row r="472" spans="1:16" x14ac:dyDescent="0.3">
      <c r="A472" t="s">
        <v>57</v>
      </c>
      <c r="B472" t="s">
        <v>19</v>
      </c>
      <c r="C472" t="s">
        <v>19</v>
      </c>
      <c r="D472" t="s">
        <v>10</v>
      </c>
      <c r="E472" t="s">
        <v>58</v>
      </c>
      <c r="F472" t="s">
        <v>9</v>
      </c>
      <c r="G472" s="15">
        <v>200</v>
      </c>
      <c r="H472" t="s">
        <v>25</v>
      </c>
      <c r="I472">
        <v>1</v>
      </c>
      <c r="J472" t="s">
        <v>47</v>
      </c>
      <c r="K472" t="s">
        <v>45</v>
      </c>
      <c r="L472" t="s">
        <v>45</v>
      </c>
      <c r="M472" t="s">
        <v>64</v>
      </c>
      <c r="N472" s="15">
        <v>151.19</v>
      </c>
      <c r="O472" s="16">
        <v>32.299999999999997</v>
      </c>
      <c r="P472">
        <v>1</v>
      </c>
    </row>
    <row r="473" spans="1:16" x14ac:dyDescent="0.3">
      <c r="A473" t="s">
        <v>57</v>
      </c>
      <c r="B473" t="s">
        <v>22</v>
      </c>
      <c r="C473" t="s">
        <v>22</v>
      </c>
      <c r="D473" t="s">
        <v>14</v>
      </c>
      <c r="E473" t="s">
        <v>77</v>
      </c>
      <c r="F473" t="s">
        <v>9</v>
      </c>
      <c r="G473" s="15">
        <v>70.040000000000006</v>
      </c>
      <c r="H473" t="s">
        <v>27</v>
      </c>
      <c r="I473">
        <v>3</v>
      </c>
      <c r="J473" t="s">
        <v>47</v>
      </c>
      <c r="K473" t="s">
        <v>46</v>
      </c>
      <c r="L473" t="s">
        <v>46</v>
      </c>
      <c r="M473" t="s">
        <v>68</v>
      </c>
      <c r="N473" s="15">
        <v>65.97</v>
      </c>
      <c r="O473" s="16">
        <v>6.2</v>
      </c>
      <c r="P473">
        <v>0</v>
      </c>
    </row>
    <row r="474" spans="1:16" x14ac:dyDescent="0.3">
      <c r="A474" t="s">
        <v>60</v>
      </c>
      <c r="B474" t="s">
        <v>17</v>
      </c>
      <c r="C474" t="s">
        <v>17</v>
      </c>
      <c r="D474" t="s">
        <v>10</v>
      </c>
      <c r="E474" t="s">
        <v>69</v>
      </c>
      <c r="F474" t="s">
        <v>9</v>
      </c>
      <c r="G474" s="15">
        <v>142.55000000000001</v>
      </c>
      <c r="H474" t="s">
        <v>25</v>
      </c>
      <c r="I474">
        <v>1</v>
      </c>
      <c r="J474" t="s">
        <v>48</v>
      </c>
      <c r="K474" t="s">
        <v>45</v>
      </c>
      <c r="L474" t="s">
        <v>45</v>
      </c>
      <c r="M474" t="s">
        <v>68</v>
      </c>
      <c r="N474" s="15">
        <v>158.6</v>
      </c>
      <c r="O474" s="16">
        <v>-10.1</v>
      </c>
      <c r="P474">
        <v>0</v>
      </c>
    </row>
    <row r="475" spans="1:16" x14ac:dyDescent="0.3">
      <c r="A475" t="s">
        <v>65</v>
      </c>
      <c r="B475" t="s">
        <v>17</v>
      </c>
      <c r="C475" t="s">
        <v>17</v>
      </c>
      <c r="D475" t="s">
        <v>12</v>
      </c>
      <c r="E475" t="s">
        <v>80</v>
      </c>
      <c r="F475" t="s">
        <v>13</v>
      </c>
      <c r="G475" s="15">
        <v>174.4</v>
      </c>
      <c r="H475" t="s">
        <v>27</v>
      </c>
      <c r="I475">
        <v>3</v>
      </c>
      <c r="J475" t="s">
        <v>47</v>
      </c>
      <c r="K475" t="s">
        <v>45</v>
      </c>
      <c r="L475" t="s">
        <v>46</v>
      </c>
      <c r="M475" t="s">
        <v>72</v>
      </c>
      <c r="N475" s="15">
        <v>176.57</v>
      </c>
      <c r="O475" s="16">
        <v>-1.2</v>
      </c>
      <c r="P475">
        <v>0</v>
      </c>
    </row>
    <row r="476" spans="1:16" x14ac:dyDescent="0.3">
      <c r="A476" t="s">
        <v>65</v>
      </c>
      <c r="B476" t="s">
        <v>18</v>
      </c>
      <c r="C476" t="s">
        <v>18</v>
      </c>
      <c r="D476" t="s">
        <v>12</v>
      </c>
      <c r="E476" t="s">
        <v>80</v>
      </c>
      <c r="F476" t="s">
        <v>13</v>
      </c>
      <c r="G476" s="15">
        <v>158.4</v>
      </c>
      <c r="H476" t="s">
        <v>27</v>
      </c>
      <c r="I476">
        <v>3</v>
      </c>
      <c r="J476" t="s">
        <v>48</v>
      </c>
      <c r="K476" t="s">
        <v>45</v>
      </c>
      <c r="L476" t="s">
        <v>45</v>
      </c>
      <c r="M476" t="s">
        <v>59</v>
      </c>
      <c r="N476" s="15">
        <v>176.57</v>
      </c>
      <c r="O476" s="16">
        <v>-10.3</v>
      </c>
      <c r="P476">
        <v>0</v>
      </c>
    </row>
    <row r="477" spans="1:16" x14ac:dyDescent="0.3">
      <c r="A477" t="s">
        <v>57</v>
      </c>
      <c r="B477" t="s">
        <v>21</v>
      </c>
      <c r="C477" t="s">
        <v>62</v>
      </c>
      <c r="D477" t="s">
        <v>14</v>
      </c>
      <c r="E477" t="s">
        <v>71</v>
      </c>
      <c r="F477" t="s">
        <v>9</v>
      </c>
      <c r="G477" s="15">
        <v>79.45</v>
      </c>
      <c r="H477" t="s">
        <v>25</v>
      </c>
      <c r="I477">
        <v>1</v>
      </c>
      <c r="J477" t="s">
        <v>48</v>
      </c>
      <c r="K477" t="s">
        <v>45</v>
      </c>
      <c r="L477" t="s">
        <v>45</v>
      </c>
      <c r="M477" t="s">
        <v>64</v>
      </c>
      <c r="N477" s="15">
        <v>65.77</v>
      </c>
      <c r="O477" s="16">
        <v>20.8</v>
      </c>
      <c r="P477">
        <v>1</v>
      </c>
    </row>
    <row r="478" spans="1:16" x14ac:dyDescent="0.3">
      <c r="A478" t="s">
        <v>65</v>
      </c>
      <c r="B478" t="s">
        <v>21</v>
      </c>
      <c r="C478" t="s">
        <v>62</v>
      </c>
      <c r="D478" t="s">
        <v>15</v>
      </c>
      <c r="E478" t="s">
        <v>75</v>
      </c>
      <c r="F478" t="s">
        <v>9</v>
      </c>
      <c r="G478" s="15">
        <v>125.46</v>
      </c>
      <c r="H478" t="s">
        <v>25</v>
      </c>
      <c r="I478">
        <v>1</v>
      </c>
      <c r="J478" t="s">
        <v>47</v>
      </c>
      <c r="K478" t="s">
        <v>45</v>
      </c>
      <c r="L478" t="s">
        <v>45</v>
      </c>
      <c r="M478" t="s">
        <v>68</v>
      </c>
      <c r="N478" s="15">
        <v>126.9</v>
      </c>
      <c r="O478" s="16">
        <v>-1.1000000000000001</v>
      </c>
      <c r="P478">
        <v>0</v>
      </c>
    </row>
    <row r="479" spans="1:16" x14ac:dyDescent="0.3">
      <c r="A479" t="s">
        <v>65</v>
      </c>
      <c r="B479" t="s">
        <v>18</v>
      </c>
      <c r="C479" t="s">
        <v>18</v>
      </c>
      <c r="D479" t="s">
        <v>15</v>
      </c>
      <c r="E479" t="s">
        <v>75</v>
      </c>
      <c r="F479" t="s">
        <v>9</v>
      </c>
      <c r="G479" s="15">
        <v>135.54</v>
      </c>
      <c r="H479" t="s">
        <v>26</v>
      </c>
      <c r="I479">
        <v>2</v>
      </c>
      <c r="J479" t="s">
        <v>47</v>
      </c>
      <c r="K479" t="s">
        <v>45</v>
      </c>
      <c r="L479" t="s">
        <v>46</v>
      </c>
      <c r="M479" t="s">
        <v>67</v>
      </c>
      <c r="N479" s="15">
        <v>126.9</v>
      </c>
      <c r="O479" s="16">
        <v>6.8</v>
      </c>
      <c r="P479">
        <v>0</v>
      </c>
    </row>
    <row r="480" spans="1:16" x14ac:dyDescent="0.3">
      <c r="A480" t="s">
        <v>65</v>
      </c>
      <c r="B480" t="s">
        <v>20</v>
      </c>
      <c r="C480" t="s">
        <v>20</v>
      </c>
      <c r="D480" t="s">
        <v>14</v>
      </c>
      <c r="E480" t="s">
        <v>63</v>
      </c>
      <c r="F480" t="s">
        <v>9</v>
      </c>
      <c r="G480" s="15">
        <v>73.03</v>
      </c>
      <c r="H480" t="s">
        <v>25</v>
      </c>
      <c r="I480">
        <v>1</v>
      </c>
      <c r="J480" t="s">
        <v>48</v>
      </c>
      <c r="K480" t="s">
        <v>45</v>
      </c>
      <c r="L480" t="s">
        <v>46</v>
      </c>
      <c r="M480" t="s">
        <v>64</v>
      </c>
      <c r="N480" s="15">
        <v>68.150000000000006</v>
      </c>
      <c r="O480" s="16">
        <v>7.2</v>
      </c>
      <c r="P480">
        <v>0</v>
      </c>
    </row>
    <row r="481" spans="1:16" x14ac:dyDescent="0.3">
      <c r="A481" t="s">
        <v>65</v>
      </c>
      <c r="B481" t="s">
        <v>17</v>
      </c>
      <c r="C481" t="s">
        <v>17</v>
      </c>
      <c r="D481" t="s">
        <v>14</v>
      </c>
      <c r="E481" t="s">
        <v>63</v>
      </c>
      <c r="F481" t="s">
        <v>9</v>
      </c>
      <c r="G481" s="15">
        <v>80</v>
      </c>
      <c r="H481" t="s">
        <v>25</v>
      </c>
      <c r="I481">
        <v>1</v>
      </c>
      <c r="J481" t="s">
        <v>44</v>
      </c>
      <c r="K481" t="s">
        <v>45</v>
      </c>
      <c r="L481" t="s">
        <v>46</v>
      </c>
      <c r="M481" t="s">
        <v>59</v>
      </c>
      <c r="N481" s="15">
        <v>68.150000000000006</v>
      </c>
      <c r="O481" s="16">
        <v>17.399999999999999</v>
      </c>
      <c r="P481">
        <v>1</v>
      </c>
    </row>
    <row r="482" spans="1:16" x14ac:dyDescent="0.3">
      <c r="A482" t="s">
        <v>65</v>
      </c>
      <c r="B482" t="s">
        <v>21</v>
      </c>
      <c r="C482" t="s">
        <v>62</v>
      </c>
      <c r="D482" t="s">
        <v>15</v>
      </c>
      <c r="E482" t="s">
        <v>76</v>
      </c>
      <c r="F482" t="s">
        <v>9</v>
      </c>
      <c r="G482" s="15">
        <v>140</v>
      </c>
      <c r="H482" t="s">
        <v>25</v>
      </c>
      <c r="I482">
        <v>1</v>
      </c>
      <c r="J482" t="s">
        <v>47</v>
      </c>
      <c r="K482" t="s">
        <v>45</v>
      </c>
      <c r="L482" t="s">
        <v>45</v>
      </c>
      <c r="M482" t="s">
        <v>72</v>
      </c>
      <c r="N482" s="15">
        <v>126.51</v>
      </c>
      <c r="O482" s="16">
        <v>10.7</v>
      </c>
      <c r="P482">
        <v>0</v>
      </c>
    </row>
    <row r="483" spans="1:16" x14ac:dyDescent="0.3">
      <c r="A483" t="s">
        <v>60</v>
      </c>
      <c r="B483" t="s">
        <v>17</v>
      </c>
      <c r="C483" t="s">
        <v>17</v>
      </c>
      <c r="D483" t="s">
        <v>10</v>
      </c>
      <c r="E483" t="s">
        <v>58</v>
      </c>
      <c r="F483" t="s">
        <v>9</v>
      </c>
      <c r="G483" s="15">
        <v>139.47999999999999</v>
      </c>
      <c r="H483" t="s">
        <v>26</v>
      </c>
      <c r="I483">
        <v>2</v>
      </c>
      <c r="J483" t="s">
        <v>47</v>
      </c>
      <c r="K483" t="s">
        <v>45</v>
      </c>
      <c r="L483" t="s">
        <v>45</v>
      </c>
      <c r="M483" t="s">
        <v>67</v>
      </c>
      <c r="N483" s="15">
        <v>152.03</v>
      </c>
      <c r="O483" s="16">
        <v>-8.3000000000000007</v>
      </c>
      <c r="P483">
        <v>0</v>
      </c>
    </row>
    <row r="484" spans="1:16" x14ac:dyDescent="0.3">
      <c r="A484" t="s">
        <v>57</v>
      </c>
      <c r="B484" t="s">
        <v>20</v>
      </c>
      <c r="C484" t="s">
        <v>20</v>
      </c>
      <c r="D484" t="s">
        <v>15</v>
      </c>
      <c r="E484" t="s">
        <v>75</v>
      </c>
      <c r="F484" t="s">
        <v>9</v>
      </c>
      <c r="G484" s="15">
        <v>116.66</v>
      </c>
      <c r="H484" t="s">
        <v>26</v>
      </c>
      <c r="I484">
        <v>2</v>
      </c>
      <c r="J484" t="s">
        <v>48</v>
      </c>
      <c r="K484" t="s">
        <v>46</v>
      </c>
      <c r="L484" t="s">
        <v>45</v>
      </c>
      <c r="M484" t="s">
        <v>61</v>
      </c>
      <c r="N484" s="15">
        <v>120.06</v>
      </c>
      <c r="O484" s="16">
        <v>-2.8</v>
      </c>
      <c r="P484">
        <v>0</v>
      </c>
    </row>
    <row r="485" spans="1:16" x14ac:dyDescent="0.3">
      <c r="A485" t="s">
        <v>60</v>
      </c>
      <c r="B485" t="s">
        <v>17</v>
      </c>
      <c r="C485" t="s">
        <v>17</v>
      </c>
      <c r="D485" t="s">
        <v>8</v>
      </c>
      <c r="E485" t="s">
        <v>74</v>
      </c>
      <c r="F485" t="s">
        <v>9</v>
      </c>
      <c r="G485" s="15">
        <v>68.92</v>
      </c>
      <c r="H485" t="s">
        <v>27</v>
      </c>
      <c r="I485">
        <v>3</v>
      </c>
      <c r="J485" t="s">
        <v>47</v>
      </c>
      <c r="K485" t="s">
        <v>46</v>
      </c>
      <c r="L485" t="s">
        <v>46</v>
      </c>
      <c r="M485" t="s">
        <v>67</v>
      </c>
      <c r="N485" s="15">
        <v>78.260000000000005</v>
      </c>
      <c r="O485" s="16">
        <v>-11.9</v>
      </c>
      <c r="P485">
        <v>0</v>
      </c>
    </row>
    <row r="486" spans="1:16" x14ac:dyDescent="0.3">
      <c r="A486" t="s">
        <v>57</v>
      </c>
      <c r="B486" t="s">
        <v>19</v>
      </c>
      <c r="C486" t="s">
        <v>19</v>
      </c>
      <c r="D486" t="s">
        <v>8</v>
      </c>
      <c r="E486" t="s">
        <v>74</v>
      </c>
      <c r="F486" t="s">
        <v>9</v>
      </c>
      <c r="G486" s="15">
        <v>109.32</v>
      </c>
      <c r="H486" t="s">
        <v>26</v>
      </c>
      <c r="I486">
        <v>2</v>
      </c>
      <c r="J486" t="s">
        <v>48</v>
      </c>
      <c r="K486" t="s">
        <v>45</v>
      </c>
      <c r="L486" t="s">
        <v>46</v>
      </c>
      <c r="M486" t="s">
        <v>72</v>
      </c>
      <c r="N486" s="15">
        <v>83.41</v>
      </c>
      <c r="O486" s="16">
        <v>31.1</v>
      </c>
      <c r="P486">
        <v>1</v>
      </c>
    </row>
    <row r="487" spans="1:16" x14ac:dyDescent="0.3">
      <c r="A487" t="s">
        <v>65</v>
      </c>
      <c r="B487" t="s">
        <v>21</v>
      </c>
      <c r="C487" t="s">
        <v>62</v>
      </c>
      <c r="D487" t="s">
        <v>12</v>
      </c>
      <c r="E487" t="s">
        <v>66</v>
      </c>
      <c r="F487" t="s">
        <v>13</v>
      </c>
      <c r="G487" s="15">
        <v>185.31</v>
      </c>
      <c r="H487" t="s">
        <v>25</v>
      </c>
      <c r="I487">
        <v>1</v>
      </c>
      <c r="J487" t="s">
        <v>47</v>
      </c>
      <c r="K487" t="s">
        <v>45</v>
      </c>
      <c r="L487" t="s">
        <v>45</v>
      </c>
      <c r="M487" t="s">
        <v>64</v>
      </c>
      <c r="N487" s="15">
        <v>178.49</v>
      </c>
      <c r="O487" s="16">
        <v>3.8</v>
      </c>
      <c r="P487">
        <v>0</v>
      </c>
    </row>
    <row r="488" spans="1:16" x14ac:dyDescent="0.3">
      <c r="A488" t="s">
        <v>57</v>
      </c>
      <c r="B488" t="s">
        <v>21</v>
      </c>
      <c r="C488" t="s">
        <v>62</v>
      </c>
      <c r="D488" t="s">
        <v>11</v>
      </c>
      <c r="E488" t="s">
        <v>70</v>
      </c>
      <c r="F488" t="s">
        <v>9</v>
      </c>
      <c r="G488" s="15">
        <v>33.15</v>
      </c>
      <c r="H488" t="s">
        <v>27</v>
      </c>
      <c r="I488">
        <v>3</v>
      </c>
      <c r="J488" t="s">
        <v>47</v>
      </c>
      <c r="K488" t="s">
        <v>46</v>
      </c>
      <c r="L488" t="s">
        <v>46</v>
      </c>
      <c r="M488" t="s">
        <v>72</v>
      </c>
      <c r="N488" s="15">
        <v>30.5</v>
      </c>
      <c r="O488" s="16">
        <v>8.6999999999999993</v>
      </c>
      <c r="P488">
        <v>0</v>
      </c>
    </row>
    <row r="489" spans="1:16" x14ac:dyDescent="0.3">
      <c r="A489" t="s">
        <v>65</v>
      </c>
      <c r="B489" t="s">
        <v>19</v>
      </c>
      <c r="C489" t="s">
        <v>19</v>
      </c>
      <c r="D489" t="s">
        <v>12</v>
      </c>
      <c r="E489" t="s">
        <v>80</v>
      </c>
      <c r="F489" t="s">
        <v>13</v>
      </c>
      <c r="G489" s="15">
        <v>200</v>
      </c>
      <c r="H489" t="s">
        <v>25</v>
      </c>
      <c r="I489">
        <v>1</v>
      </c>
      <c r="J489" t="s">
        <v>44</v>
      </c>
      <c r="K489" t="s">
        <v>45</v>
      </c>
      <c r="L489" t="s">
        <v>46</v>
      </c>
      <c r="M489" t="s">
        <v>68</v>
      </c>
      <c r="N489" s="15">
        <v>176.57</v>
      </c>
      <c r="O489" s="16">
        <v>13.3</v>
      </c>
      <c r="P489">
        <v>0</v>
      </c>
    </row>
    <row r="490" spans="1:16" x14ac:dyDescent="0.3">
      <c r="A490" t="s">
        <v>60</v>
      </c>
      <c r="B490" t="s">
        <v>22</v>
      </c>
      <c r="C490" t="s">
        <v>22</v>
      </c>
      <c r="D490" t="s">
        <v>11</v>
      </c>
      <c r="E490" t="s">
        <v>70</v>
      </c>
      <c r="F490" t="s">
        <v>9</v>
      </c>
      <c r="G490" s="15">
        <v>35.74</v>
      </c>
      <c r="H490" t="s">
        <v>26</v>
      </c>
      <c r="I490">
        <v>2</v>
      </c>
      <c r="J490" t="s">
        <v>47</v>
      </c>
      <c r="K490" t="s">
        <v>45</v>
      </c>
      <c r="L490" t="s">
        <v>45</v>
      </c>
      <c r="M490" t="s">
        <v>61</v>
      </c>
      <c r="N490" s="15">
        <v>31.4</v>
      </c>
      <c r="O490" s="16">
        <v>13.8</v>
      </c>
      <c r="P490">
        <v>0</v>
      </c>
    </row>
    <row r="491" spans="1:16" x14ac:dyDescent="0.3">
      <c r="A491" t="s">
        <v>57</v>
      </c>
      <c r="B491" t="s">
        <v>17</v>
      </c>
      <c r="C491" t="s">
        <v>17</v>
      </c>
      <c r="D491" t="s">
        <v>11</v>
      </c>
      <c r="E491" t="s">
        <v>70</v>
      </c>
      <c r="F491" t="s">
        <v>9</v>
      </c>
      <c r="G491" s="15">
        <v>35.4</v>
      </c>
      <c r="H491" t="s">
        <v>25</v>
      </c>
      <c r="I491">
        <v>1</v>
      </c>
      <c r="J491" t="s">
        <v>47</v>
      </c>
      <c r="K491" t="s">
        <v>45</v>
      </c>
      <c r="L491" t="s">
        <v>45</v>
      </c>
      <c r="M491" t="s">
        <v>59</v>
      </c>
      <c r="N491" s="15">
        <v>30.5</v>
      </c>
      <c r="O491" s="16">
        <v>16.100000000000001</v>
      </c>
      <c r="P491">
        <v>1</v>
      </c>
    </row>
    <row r="492" spans="1:16" x14ac:dyDescent="0.3">
      <c r="A492" t="s">
        <v>57</v>
      </c>
      <c r="B492" t="s">
        <v>20</v>
      </c>
      <c r="C492" t="s">
        <v>20</v>
      </c>
      <c r="D492" t="s">
        <v>10</v>
      </c>
      <c r="E492" t="s">
        <v>69</v>
      </c>
      <c r="F492" t="s">
        <v>9</v>
      </c>
      <c r="G492" s="15">
        <v>152.13999999999999</v>
      </c>
      <c r="H492" t="s">
        <v>26</v>
      </c>
      <c r="I492">
        <v>2</v>
      </c>
      <c r="J492" t="s">
        <v>48</v>
      </c>
      <c r="K492" t="s">
        <v>46</v>
      </c>
      <c r="L492" t="s">
        <v>46</v>
      </c>
      <c r="M492" t="s">
        <v>72</v>
      </c>
      <c r="N492" s="15">
        <v>150.38999999999999</v>
      </c>
      <c r="O492" s="16">
        <v>1.2</v>
      </c>
      <c r="P492">
        <v>0</v>
      </c>
    </row>
    <row r="493" spans="1:16" x14ac:dyDescent="0.3">
      <c r="A493" t="s">
        <v>65</v>
      </c>
      <c r="B493" t="s">
        <v>19</v>
      </c>
      <c r="C493" t="s">
        <v>19</v>
      </c>
      <c r="D493" t="s">
        <v>15</v>
      </c>
      <c r="E493" t="s">
        <v>76</v>
      </c>
      <c r="F493" t="s">
        <v>9</v>
      </c>
      <c r="G493" s="15">
        <v>98.68</v>
      </c>
      <c r="H493" t="s">
        <v>26</v>
      </c>
      <c r="I493">
        <v>2</v>
      </c>
      <c r="J493" t="s">
        <v>48</v>
      </c>
      <c r="K493" t="s">
        <v>46</v>
      </c>
      <c r="L493" t="s">
        <v>45</v>
      </c>
      <c r="M493" t="s">
        <v>67</v>
      </c>
      <c r="N493" s="15">
        <v>126.51</v>
      </c>
      <c r="O493" s="16">
        <v>-22</v>
      </c>
      <c r="P493">
        <v>0</v>
      </c>
    </row>
    <row r="494" spans="1:16" x14ac:dyDescent="0.3">
      <c r="A494" t="s">
        <v>57</v>
      </c>
      <c r="B494" t="s">
        <v>18</v>
      </c>
      <c r="C494" t="s">
        <v>18</v>
      </c>
      <c r="D494" t="s">
        <v>11</v>
      </c>
      <c r="E494" t="s">
        <v>70</v>
      </c>
      <c r="F494" t="s">
        <v>9</v>
      </c>
      <c r="G494" s="15">
        <v>25.16</v>
      </c>
      <c r="H494" t="s">
        <v>26</v>
      </c>
      <c r="I494">
        <v>2</v>
      </c>
      <c r="J494" t="s">
        <v>48</v>
      </c>
      <c r="K494" t="s">
        <v>46</v>
      </c>
      <c r="L494" t="s">
        <v>45</v>
      </c>
      <c r="M494" t="s">
        <v>68</v>
      </c>
      <c r="N494" s="15">
        <v>30.5</v>
      </c>
      <c r="O494" s="16">
        <v>-17.5</v>
      </c>
      <c r="P494">
        <v>0</v>
      </c>
    </row>
    <row r="495" spans="1:16" x14ac:dyDescent="0.3">
      <c r="A495" t="s">
        <v>65</v>
      </c>
      <c r="B495" t="s">
        <v>21</v>
      </c>
      <c r="C495" t="s">
        <v>62</v>
      </c>
      <c r="D495" t="s">
        <v>15</v>
      </c>
      <c r="E495" t="s">
        <v>76</v>
      </c>
      <c r="F495" t="s">
        <v>9</v>
      </c>
      <c r="G495" s="15">
        <v>111.69</v>
      </c>
      <c r="H495" t="s">
        <v>27</v>
      </c>
      <c r="I495">
        <v>3</v>
      </c>
      <c r="J495" t="s">
        <v>47</v>
      </c>
      <c r="K495" t="s">
        <v>45</v>
      </c>
      <c r="L495" t="s">
        <v>45</v>
      </c>
      <c r="M495" t="s">
        <v>67</v>
      </c>
      <c r="N495" s="15">
        <v>126.51</v>
      </c>
      <c r="O495" s="16">
        <v>-11.7</v>
      </c>
      <c r="P495">
        <v>0</v>
      </c>
    </row>
    <row r="496" spans="1:16" x14ac:dyDescent="0.3">
      <c r="A496" t="s">
        <v>57</v>
      </c>
      <c r="B496" t="s">
        <v>19</v>
      </c>
      <c r="C496" t="s">
        <v>19</v>
      </c>
      <c r="D496" t="s">
        <v>14</v>
      </c>
      <c r="E496" t="s">
        <v>63</v>
      </c>
      <c r="F496" t="s">
        <v>9</v>
      </c>
      <c r="G496" s="15">
        <v>62.85</v>
      </c>
      <c r="H496" t="s">
        <v>26</v>
      </c>
      <c r="I496">
        <v>2</v>
      </c>
      <c r="J496" t="s">
        <v>47</v>
      </c>
      <c r="K496" t="s">
        <v>46</v>
      </c>
      <c r="L496" t="s">
        <v>45</v>
      </c>
      <c r="M496" t="s">
        <v>64</v>
      </c>
      <c r="N496" s="15">
        <v>65.16</v>
      </c>
      <c r="O496" s="16">
        <v>-3.5</v>
      </c>
      <c r="P496">
        <v>0</v>
      </c>
    </row>
    <row r="497" spans="1:16" x14ac:dyDescent="0.3">
      <c r="A497" t="s">
        <v>60</v>
      </c>
      <c r="B497" t="s">
        <v>22</v>
      </c>
      <c r="C497" t="s">
        <v>22</v>
      </c>
      <c r="D497" t="s">
        <v>12</v>
      </c>
      <c r="E497" t="s">
        <v>66</v>
      </c>
      <c r="F497" t="s">
        <v>13</v>
      </c>
      <c r="G497" s="15">
        <v>168.53</v>
      </c>
      <c r="H497" t="s">
        <v>26</v>
      </c>
      <c r="I497">
        <v>2</v>
      </c>
      <c r="J497" t="s">
        <v>48</v>
      </c>
      <c r="K497" t="s">
        <v>45</v>
      </c>
      <c r="L497" t="s">
        <v>45</v>
      </c>
      <c r="M497" t="s">
        <v>61</v>
      </c>
      <c r="N497" s="15">
        <v>168.34</v>
      </c>
      <c r="O497" s="16">
        <v>0.1</v>
      </c>
      <c r="P497">
        <v>0</v>
      </c>
    </row>
    <row r="498" spans="1:16" x14ac:dyDescent="0.3">
      <c r="A498" t="s">
        <v>57</v>
      </c>
      <c r="B498" t="s">
        <v>22</v>
      </c>
      <c r="C498" t="s">
        <v>22</v>
      </c>
      <c r="D498" t="s">
        <v>14</v>
      </c>
      <c r="E498" t="s">
        <v>63</v>
      </c>
      <c r="F498" t="s">
        <v>9</v>
      </c>
      <c r="G498" s="15">
        <v>66.849999999999994</v>
      </c>
      <c r="H498" t="s">
        <v>27</v>
      </c>
      <c r="I498">
        <v>3</v>
      </c>
      <c r="J498" t="s">
        <v>48</v>
      </c>
      <c r="K498" t="s">
        <v>45</v>
      </c>
      <c r="L498" t="s">
        <v>45</v>
      </c>
      <c r="M498" t="s">
        <v>61</v>
      </c>
      <c r="N498" s="15">
        <v>65.16</v>
      </c>
      <c r="O498" s="16">
        <v>2.6</v>
      </c>
      <c r="P498">
        <v>0</v>
      </c>
    </row>
    <row r="499" spans="1:16" x14ac:dyDescent="0.3">
      <c r="A499" t="s">
        <v>60</v>
      </c>
      <c r="B499" t="s">
        <v>21</v>
      </c>
      <c r="C499" t="s">
        <v>62</v>
      </c>
      <c r="D499" t="s">
        <v>12</v>
      </c>
      <c r="E499" t="s">
        <v>66</v>
      </c>
      <c r="F499" t="s">
        <v>13</v>
      </c>
      <c r="G499" s="15">
        <v>162.5</v>
      </c>
      <c r="H499" t="s">
        <v>26</v>
      </c>
      <c r="I499">
        <v>2</v>
      </c>
      <c r="J499" t="s">
        <v>48</v>
      </c>
      <c r="K499" t="s">
        <v>45</v>
      </c>
      <c r="L499" t="s">
        <v>45</v>
      </c>
      <c r="M499" t="s">
        <v>72</v>
      </c>
      <c r="N499" s="15">
        <v>168.34</v>
      </c>
      <c r="O499" s="16">
        <v>-3.5</v>
      </c>
      <c r="P499">
        <v>0</v>
      </c>
    </row>
    <row r="500" spans="1:16" x14ac:dyDescent="0.3">
      <c r="A500" t="s">
        <v>57</v>
      </c>
      <c r="B500" t="s">
        <v>17</v>
      </c>
      <c r="C500" t="s">
        <v>17</v>
      </c>
      <c r="D500" t="s">
        <v>12</v>
      </c>
      <c r="E500" t="s">
        <v>80</v>
      </c>
      <c r="F500" t="s">
        <v>13</v>
      </c>
      <c r="G500" s="15">
        <v>171.93</v>
      </c>
      <c r="H500" t="s">
        <v>25</v>
      </c>
      <c r="I500">
        <v>1</v>
      </c>
      <c r="J500" t="s">
        <v>48</v>
      </c>
      <c r="K500" t="s">
        <v>45</v>
      </c>
      <c r="L500" t="s">
        <v>45</v>
      </c>
      <c r="M500" t="s">
        <v>78</v>
      </c>
      <c r="N500" s="15">
        <v>162.72999999999999</v>
      </c>
      <c r="O500" s="16">
        <v>5.7</v>
      </c>
      <c r="P500">
        <v>0</v>
      </c>
    </row>
    <row r="501" spans="1:16" x14ac:dyDescent="0.3">
      <c r="A501" t="s">
        <v>65</v>
      </c>
      <c r="B501" t="s">
        <v>17</v>
      </c>
      <c r="C501" t="s">
        <v>17</v>
      </c>
      <c r="D501" t="s">
        <v>14</v>
      </c>
      <c r="E501" t="s">
        <v>77</v>
      </c>
      <c r="F501" t="s">
        <v>9</v>
      </c>
      <c r="G501" s="15">
        <v>80</v>
      </c>
      <c r="H501" t="s">
        <v>26</v>
      </c>
      <c r="I501">
        <v>2</v>
      </c>
      <c r="J501" t="s">
        <v>44</v>
      </c>
      <c r="K501" t="s">
        <v>45</v>
      </c>
      <c r="L501" t="s">
        <v>45</v>
      </c>
      <c r="M501" t="s">
        <v>68</v>
      </c>
      <c r="N501" s="15">
        <v>70.66</v>
      </c>
      <c r="O501" s="16">
        <v>13.2</v>
      </c>
      <c r="P501">
        <v>0</v>
      </c>
    </row>
    <row r="502" spans="1:16" x14ac:dyDescent="0.3">
      <c r="A502" t="s">
        <v>60</v>
      </c>
      <c r="B502" t="s">
        <v>22</v>
      </c>
      <c r="C502" t="s">
        <v>22</v>
      </c>
      <c r="D502" t="s">
        <v>10</v>
      </c>
      <c r="E502" t="s">
        <v>58</v>
      </c>
      <c r="F502" t="s">
        <v>9</v>
      </c>
      <c r="G502" s="15">
        <v>156.5</v>
      </c>
      <c r="H502" t="s">
        <v>26</v>
      </c>
      <c r="I502">
        <v>2</v>
      </c>
      <c r="J502" t="s">
        <v>47</v>
      </c>
      <c r="K502" t="s">
        <v>45</v>
      </c>
      <c r="L502" t="s">
        <v>45</v>
      </c>
      <c r="M502" t="s">
        <v>67</v>
      </c>
      <c r="N502" s="15">
        <v>152.03</v>
      </c>
      <c r="O502" s="16">
        <v>2.9</v>
      </c>
      <c r="P502">
        <v>0</v>
      </c>
    </row>
    <row r="503" spans="1:16" x14ac:dyDescent="0.3">
      <c r="A503" t="s">
        <v>57</v>
      </c>
      <c r="B503" t="s">
        <v>21</v>
      </c>
      <c r="C503" t="s">
        <v>62</v>
      </c>
      <c r="D503" t="s">
        <v>14</v>
      </c>
      <c r="E503" t="s">
        <v>77</v>
      </c>
      <c r="F503" t="s">
        <v>9</v>
      </c>
      <c r="G503" s="15">
        <v>77.41</v>
      </c>
      <c r="H503" t="s">
        <v>25</v>
      </c>
      <c r="I503">
        <v>1</v>
      </c>
      <c r="J503" t="s">
        <v>48</v>
      </c>
      <c r="K503" t="s">
        <v>45</v>
      </c>
      <c r="L503" t="s">
        <v>46</v>
      </c>
      <c r="M503" t="s">
        <v>78</v>
      </c>
      <c r="N503" s="15">
        <v>65.97</v>
      </c>
      <c r="O503" s="16">
        <v>17.3</v>
      </c>
      <c r="P503">
        <v>1</v>
      </c>
    </row>
    <row r="504" spans="1:16" x14ac:dyDescent="0.3">
      <c r="A504" t="s">
        <v>65</v>
      </c>
      <c r="B504" t="s">
        <v>21</v>
      </c>
      <c r="C504" t="s">
        <v>62</v>
      </c>
      <c r="D504" t="s">
        <v>14</v>
      </c>
      <c r="E504" t="s">
        <v>63</v>
      </c>
      <c r="F504" t="s">
        <v>9</v>
      </c>
      <c r="G504" s="15">
        <v>79.06</v>
      </c>
      <c r="H504" t="s">
        <v>26</v>
      </c>
      <c r="I504">
        <v>2</v>
      </c>
      <c r="J504" t="s">
        <v>47</v>
      </c>
      <c r="K504" t="s">
        <v>45</v>
      </c>
      <c r="L504" t="s">
        <v>45</v>
      </c>
      <c r="M504" t="s">
        <v>64</v>
      </c>
      <c r="N504" s="15">
        <v>68.150000000000006</v>
      </c>
      <c r="O504" s="16">
        <v>16</v>
      </c>
      <c r="P504">
        <v>1</v>
      </c>
    </row>
    <row r="505" spans="1:16" x14ac:dyDescent="0.3">
      <c r="A505" t="s">
        <v>65</v>
      </c>
      <c r="B505" t="s">
        <v>19</v>
      </c>
      <c r="C505" t="s">
        <v>19</v>
      </c>
      <c r="D505" t="s">
        <v>15</v>
      </c>
      <c r="E505" t="s">
        <v>76</v>
      </c>
      <c r="F505" t="s">
        <v>9</v>
      </c>
      <c r="G505" s="15">
        <v>136.86000000000001</v>
      </c>
      <c r="H505" t="s">
        <v>27</v>
      </c>
      <c r="I505">
        <v>3</v>
      </c>
      <c r="J505" t="s">
        <v>47</v>
      </c>
      <c r="K505" t="s">
        <v>45</v>
      </c>
      <c r="L505" t="s">
        <v>46</v>
      </c>
      <c r="M505" t="s">
        <v>59</v>
      </c>
      <c r="N505" s="15">
        <v>126.51</v>
      </c>
      <c r="O505" s="16">
        <v>8.1999999999999993</v>
      </c>
      <c r="P505">
        <v>0</v>
      </c>
    </row>
    <row r="506" spans="1:16" x14ac:dyDescent="0.3">
      <c r="A506" t="s">
        <v>65</v>
      </c>
      <c r="B506" t="s">
        <v>21</v>
      </c>
      <c r="C506" t="s">
        <v>62</v>
      </c>
      <c r="D506" t="s">
        <v>11</v>
      </c>
      <c r="E506" t="s">
        <v>79</v>
      </c>
      <c r="F506" t="s">
        <v>9</v>
      </c>
      <c r="G506" s="15">
        <v>37.9</v>
      </c>
      <c r="H506" t="s">
        <v>26</v>
      </c>
      <c r="I506">
        <v>2</v>
      </c>
      <c r="J506" t="s">
        <v>47</v>
      </c>
      <c r="K506" t="s">
        <v>45</v>
      </c>
      <c r="L506" t="s">
        <v>45</v>
      </c>
      <c r="M506" t="s">
        <v>61</v>
      </c>
      <c r="N506" s="15">
        <v>33.39</v>
      </c>
      <c r="O506" s="16">
        <v>13.5</v>
      </c>
      <c r="P506">
        <v>0</v>
      </c>
    </row>
    <row r="507" spans="1:16" x14ac:dyDescent="0.3">
      <c r="A507" t="s">
        <v>57</v>
      </c>
      <c r="B507" t="s">
        <v>21</v>
      </c>
      <c r="C507" t="s">
        <v>62</v>
      </c>
      <c r="D507" t="s">
        <v>11</v>
      </c>
      <c r="E507" t="s">
        <v>79</v>
      </c>
      <c r="F507" t="s">
        <v>9</v>
      </c>
      <c r="G507" s="15">
        <v>31.02</v>
      </c>
      <c r="H507" t="s">
        <v>27</v>
      </c>
      <c r="I507">
        <v>3</v>
      </c>
      <c r="J507" t="s">
        <v>48</v>
      </c>
      <c r="K507" t="s">
        <v>46</v>
      </c>
      <c r="L507" t="s">
        <v>45</v>
      </c>
      <c r="M507" t="s">
        <v>61</v>
      </c>
      <c r="N507" s="15">
        <v>30.93</v>
      </c>
      <c r="O507" s="16">
        <v>0.3</v>
      </c>
      <c r="P507">
        <v>0</v>
      </c>
    </row>
    <row r="508" spans="1:16" x14ac:dyDescent="0.3">
      <c r="A508" t="s">
        <v>65</v>
      </c>
      <c r="B508" t="s">
        <v>17</v>
      </c>
      <c r="C508" t="s">
        <v>17</v>
      </c>
      <c r="D508" t="s">
        <v>12</v>
      </c>
      <c r="E508" t="s">
        <v>66</v>
      </c>
      <c r="F508" t="s">
        <v>13</v>
      </c>
      <c r="G508" s="15">
        <v>197.67</v>
      </c>
      <c r="H508" t="s">
        <v>25</v>
      </c>
      <c r="I508">
        <v>1</v>
      </c>
      <c r="J508" t="s">
        <v>48</v>
      </c>
      <c r="K508" t="s">
        <v>45</v>
      </c>
      <c r="L508" t="s">
        <v>46</v>
      </c>
      <c r="M508" t="s">
        <v>72</v>
      </c>
      <c r="N508" s="15">
        <v>178.49</v>
      </c>
      <c r="O508" s="16">
        <v>10.7</v>
      </c>
      <c r="P508">
        <v>0</v>
      </c>
    </row>
    <row r="509" spans="1:16" x14ac:dyDescent="0.3">
      <c r="A509" t="s">
        <v>60</v>
      </c>
      <c r="B509" t="s">
        <v>17</v>
      </c>
      <c r="C509" t="s">
        <v>17</v>
      </c>
      <c r="D509" t="s">
        <v>14</v>
      </c>
      <c r="E509" t="s">
        <v>77</v>
      </c>
      <c r="F509" t="s">
        <v>9</v>
      </c>
      <c r="G509" s="15">
        <v>62.44</v>
      </c>
      <c r="H509" t="s">
        <v>26</v>
      </c>
      <c r="I509">
        <v>2</v>
      </c>
      <c r="J509" t="s">
        <v>48</v>
      </c>
      <c r="K509" t="s">
        <v>46</v>
      </c>
      <c r="L509" t="s">
        <v>45</v>
      </c>
      <c r="M509" t="s">
        <v>72</v>
      </c>
      <c r="N509" s="15">
        <v>67.13</v>
      </c>
      <c r="O509" s="16">
        <v>-7</v>
      </c>
      <c r="P509">
        <v>0</v>
      </c>
    </row>
    <row r="510" spans="1:16" x14ac:dyDescent="0.3">
      <c r="A510" t="s">
        <v>60</v>
      </c>
      <c r="B510" t="s">
        <v>22</v>
      </c>
      <c r="C510" t="s">
        <v>22</v>
      </c>
      <c r="D510" t="s">
        <v>8</v>
      </c>
      <c r="E510" t="s">
        <v>73</v>
      </c>
      <c r="F510" t="s">
        <v>9</v>
      </c>
      <c r="G510" s="15">
        <v>65.64</v>
      </c>
      <c r="H510" t="s">
        <v>26</v>
      </c>
      <c r="I510">
        <v>2</v>
      </c>
      <c r="J510" t="s">
        <v>47</v>
      </c>
      <c r="K510" t="s">
        <v>46</v>
      </c>
      <c r="L510" t="s">
        <v>45</v>
      </c>
      <c r="M510" t="s">
        <v>61</v>
      </c>
      <c r="N510" s="15">
        <v>82.04</v>
      </c>
      <c r="O510" s="16">
        <v>-20</v>
      </c>
      <c r="P510">
        <v>0</v>
      </c>
    </row>
    <row r="511" spans="1:16" x14ac:dyDescent="0.3">
      <c r="A511" t="s">
        <v>65</v>
      </c>
      <c r="B511" t="s">
        <v>21</v>
      </c>
      <c r="C511" t="s">
        <v>62</v>
      </c>
      <c r="D511" t="s">
        <v>15</v>
      </c>
      <c r="E511" t="s">
        <v>76</v>
      </c>
      <c r="F511" t="s">
        <v>9</v>
      </c>
      <c r="G511" s="15">
        <v>138.11000000000001</v>
      </c>
      <c r="H511" t="s">
        <v>26</v>
      </c>
      <c r="I511">
        <v>2</v>
      </c>
      <c r="J511" t="s">
        <v>47</v>
      </c>
      <c r="K511" t="s">
        <v>45</v>
      </c>
      <c r="L511" t="s">
        <v>45</v>
      </c>
      <c r="M511" t="s">
        <v>67</v>
      </c>
      <c r="N511" s="15">
        <v>126.51</v>
      </c>
      <c r="O511" s="16">
        <v>9.1999999999999993</v>
      </c>
      <c r="P511">
        <v>0</v>
      </c>
    </row>
    <row r="512" spans="1:16" x14ac:dyDescent="0.3">
      <c r="A512" t="s">
        <v>65</v>
      </c>
      <c r="B512" t="s">
        <v>22</v>
      </c>
      <c r="C512" t="s">
        <v>22</v>
      </c>
      <c r="D512" t="s">
        <v>10</v>
      </c>
      <c r="E512" t="s">
        <v>58</v>
      </c>
      <c r="F512" t="s">
        <v>9</v>
      </c>
      <c r="G512" s="15">
        <v>164.21</v>
      </c>
      <c r="H512" t="s">
        <v>26</v>
      </c>
      <c r="I512">
        <v>2</v>
      </c>
      <c r="J512" t="s">
        <v>48</v>
      </c>
      <c r="K512" t="s">
        <v>46</v>
      </c>
      <c r="L512" t="s">
        <v>45</v>
      </c>
      <c r="M512" t="s">
        <v>68</v>
      </c>
      <c r="N512" s="15">
        <v>166.29</v>
      </c>
      <c r="O512" s="16">
        <v>-1.3</v>
      </c>
      <c r="P512">
        <v>0</v>
      </c>
    </row>
    <row r="513" spans="1:16" x14ac:dyDescent="0.3">
      <c r="A513" t="s">
        <v>60</v>
      </c>
      <c r="B513" t="s">
        <v>21</v>
      </c>
      <c r="C513" t="s">
        <v>62</v>
      </c>
      <c r="D513" t="s">
        <v>14</v>
      </c>
      <c r="E513" t="s">
        <v>77</v>
      </c>
      <c r="F513" t="s">
        <v>9</v>
      </c>
      <c r="G513" s="15">
        <v>69.739999999999995</v>
      </c>
      <c r="H513" t="s">
        <v>26</v>
      </c>
      <c r="I513">
        <v>2</v>
      </c>
      <c r="J513" t="s">
        <v>48</v>
      </c>
      <c r="K513" t="s">
        <v>45</v>
      </c>
      <c r="L513" t="s">
        <v>45</v>
      </c>
      <c r="M513" t="s">
        <v>59</v>
      </c>
      <c r="N513" s="15">
        <v>67.13</v>
      </c>
      <c r="O513" s="16">
        <v>3.9</v>
      </c>
      <c r="P513">
        <v>0</v>
      </c>
    </row>
    <row r="514" spans="1:16" x14ac:dyDescent="0.3">
      <c r="A514" t="s">
        <v>57</v>
      </c>
      <c r="B514" t="s">
        <v>17</v>
      </c>
      <c r="C514" t="s">
        <v>17</v>
      </c>
      <c r="D514" t="s">
        <v>15</v>
      </c>
      <c r="E514" t="s">
        <v>76</v>
      </c>
      <c r="F514" t="s">
        <v>9</v>
      </c>
      <c r="G514" s="15">
        <v>125.26</v>
      </c>
      <c r="H514" t="s">
        <v>25</v>
      </c>
      <c r="I514">
        <v>1</v>
      </c>
      <c r="J514" t="s">
        <v>47</v>
      </c>
      <c r="K514" t="s">
        <v>46</v>
      </c>
      <c r="L514" t="s">
        <v>45</v>
      </c>
      <c r="M514" t="s">
        <v>78</v>
      </c>
      <c r="N514" s="15">
        <v>118.59</v>
      </c>
      <c r="O514" s="16">
        <v>5.6</v>
      </c>
      <c r="P514">
        <v>0</v>
      </c>
    </row>
    <row r="515" spans="1:16" x14ac:dyDescent="0.3">
      <c r="A515" t="s">
        <v>57</v>
      </c>
      <c r="B515" t="s">
        <v>20</v>
      </c>
      <c r="C515" t="s">
        <v>20</v>
      </c>
      <c r="D515" t="s">
        <v>10</v>
      </c>
      <c r="E515" t="s">
        <v>69</v>
      </c>
      <c r="F515" t="s">
        <v>9</v>
      </c>
      <c r="G515" s="15">
        <v>154.83000000000001</v>
      </c>
      <c r="H515" t="s">
        <v>27</v>
      </c>
      <c r="I515">
        <v>3</v>
      </c>
      <c r="J515" t="s">
        <v>48</v>
      </c>
      <c r="K515" t="s">
        <v>45</v>
      </c>
      <c r="L515" t="s">
        <v>45</v>
      </c>
      <c r="M515" t="s">
        <v>59</v>
      </c>
      <c r="N515" s="15">
        <v>150.38999999999999</v>
      </c>
      <c r="O515" s="16">
        <v>2.9</v>
      </c>
      <c r="P515">
        <v>0</v>
      </c>
    </row>
    <row r="516" spans="1:16" x14ac:dyDescent="0.3">
      <c r="A516" t="s">
        <v>65</v>
      </c>
      <c r="B516" t="s">
        <v>22</v>
      </c>
      <c r="C516" t="s">
        <v>22</v>
      </c>
      <c r="D516" t="s">
        <v>11</v>
      </c>
      <c r="E516" t="s">
        <v>70</v>
      </c>
      <c r="F516" t="s">
        <v>9</v>
      </c>
      <c r="G516" s="15">
        <v>33.4</v>
      </c>
      <c r="H516" t="s">
        <v>25</v>
      </c>
      <c r="I516">
        <v>1</v>
      </c>
      <c r="J516" t="s">
        <v>47</v>
      </c>
      <c r="K516" t="s">
        <v>45</v>
      </c>
      <c r="L516" t="s">
        <v>45</v>
      </c>
      <c r="M516" t="s">
        <v>78</v>
      </c>
      <c r="N516" s="15">
        <v>32.630000000000003</v>
      </c>
      <c r="O516" s="16">
        <v>2.4</v>
      </c>
      <c r="P516">
        <v>0</v>
      </c>
    </row>
    <row r="517" spans="1:16" x14ac:dyDescent="0.3">
      <c r="A517" t="s">
        <v>60</v>
      </c>
      <c r="B517" t="s">
        <v>20</v>
      </c>
      <c r="C517" t="s">
        <v>20</v>
      </c>
      <c r="D517" t="s">
        <v>15</v>
      </c>
      <c r="E517" t="s">
        <v>75</v>
      </c>
      <c r="F517" t="s">
        <v>9</v>
      </c>
      <c r="G517" s="15">
        <v>118.26</v>
      </c>
      <c r="H517" t="s">
        <v>26</v>
      </c>
      <c r="I517">
        <v>2</v>
      </c>
      <c r="J517" t="s">
        <v>48</v>
      </c>
      <c r="K517" t="s">
        <v>46</v>
      </c>
      <c r="L517" t="s">
        <v>45</v>
      </c>
      <c r="M517" t="s">
        <v>72</v>
      </c>
      <c r="N517" s="15">
        <v>119</v>
      </c>
      <c r="O517" s="16">
        <v>-0.6</v>
      </c>
      <c r="P517">
        <v>0</v>
      </c>
    </row>
    <row r="518" spans="1:16" x14ac:dyDescent="0.3">
      <c r="A518" t="s">
        <v>57</v>
      </c>
      <c r="B518" t="s">
        <v>20</v>
      </c>
      <c r="C518" t="s">
        <v>20</v>
      </c>
      <c r="D518" t="s">
        <v>15</v>
      </c>
      <c r="E518" t="s">
        <v>75</v>
      </c>
      <c r="F518" t="s">
        <v>9</v>
      </c>
      <c r="G518" s="15">
        <v>118.95</v>
      </c>
      <c r="H518" t="s">
        <v>26</v>
      </c>
      <c r="I518">
        <v>2</v>
      </c>
      <c r="J518" t="s">
        <v>48</v>
      </c>
      <c r="K518" t="s">
        <v>45</v>
      </c>
      <c r="L518" t="s">
        <v>45</v>
      </c>
      <c r="M518" t="s">
        <v>59</v>
      </c>
      <c r="N518" s="15">
        <v>120.06</v>
      </c>
      <c r="O518" s="16">
        <v>-0.9</v>
      </c>
      <c r="P518">
        <v>0</v>
      </c>
    </row>
    <row r="519" spans="1:16" x14ac:dyDescent="0.3">
      <c r="A519" t="s">
        <v>60</v>
      </c>
      <c r="B519" t="s">
        <v>22</v>
      </c>
      <c r="C519" t="s">
        <v>22</v>
      </c>
      <c r="D519" t="s">
        <v>8</v>
      </c>
      <c r="E519" t="s">
        <v>73</v>
      </c>
      <c r="F519" t="s">
        <v>9</v>
      </c>
      <c r="G519" s="15">
        <v>67.459999999999994</v>
      </c>
      <c r="H519" t="s">
        <v>27</v>
      </c>
      <c r="I519">
        <v>3</v>
      </c>
      <c r="J519" t="s">
        <v>48</v>
      </c>
      <c r="K519" t="s">
        <v>46</v>
      </c>
      <c r="L519" t="s">
        <v>46</v>
      </c>
      <c r="M519" t="s">
        <v>72</v>
      </c>
      <c r="N519" s="15">
        <v>82.04</v>
      </c>
      <c r="O519" s="16">
        <v>-17.8</v>
      </c>
      <c r="P519">
        <v>0</v>
      </c>
    </row>
    <row r="520" spans="1:16" x14ac:dyDescent="0.3">
      <c r="A520" t="s">
        <v>60</v>
      </c>
      <c r="B520" t="s">
        <v>21</v>
      </c>
      <c r="C520" t="s">
        <v>62</v>
      </c>
      <c r="D520" t="s">
        <v>14</v>
      </c>
      <c r="E520" t="s">
        <v>77</v>
      </c>
      <c r="F520" t="s">
        <v>9</v>
      </c>
      <c r="G520" s="15">
        <v>61.49</v>
      </c>
      <c r="H520" t="s">
        <v>26</v>
      </c>
      <c r="I520">
        <v>2</v>
      </c>
      <c r="J520" t="s">
        <v>48</v>
      </c>
      <c r="K520" t="s">
        <v>45</v>
      </c>
      <c r="L520" t="s">
        <v>45</v>
      </c>
      <c r="M520" t="s">
        <v>72</v>
      </c>
      <c r="N520" s="15">
        <v>67.13</v>
      </c>
      <c r="O520" s="16">
        <v>-8.4</v>
      </c>
      <c r="P520">
        <v>0</v>
      </c>
    </row>
    <row r="521" spans="1:16" x14ac:dyDescent="0.3">
      <c r="A521" t="s">
        <v>65</v>
      </c>
      <c r="B521" t="s">
        <v>19</v>
      </c>
      <c r="C521" t="s">
        <v>19</v>
      </c>
      <c r="D521" t="s">
        <v>11</v>
      </c>
      <c r="E521" t="s">
        <v>79</v>
      </c>
      <c r="F521" t="s">
        <v>9</v>
      </c>
      <c r="G521" s="15">
        <v>30.35</v>
      </c>
      <c r="H521" t="s">
        <v>26</v>
      </c>
      <c r="I521">
        <v>2</v>
      </c>
      <c r="J521" t="s">
        <v>47</v>
      </c>
      <c r="K521" t="s">
        <v>46</v>
      </c>
      <c r="L521" t="s">
        <v>45</v>
      </c>
      <c r="M521" t="s">
        <v>59</v>
      </c>
      <c r="N521" s="15">
        <v>33.39</v>
      </c>
      <c r="O521" s="16">
        <v>-9.1</v>
      </c>
      <c r="P521">
        <v>0</v>
      </c>
    </row>
    <row r="522" spans="1:16" x14ac:dyDescent="0.3">
      <c r="A522" t="s">
        <v>57</v>
      </c>
      <c r="B522" t="s">
        <v>22</v>
      </c>
      <c r="C522" t="s">
        <v>22</v>
      </c>
      <c r="D522" t="s">
        <v>15</v>
      </c>
      <c r="E522" t="s">
        <v>76</v>
      </c>
      <c r="F522" t="s">
        <v>9</v>
      </c>
      <c r="G522" s="15">
        <v>116.06</v>
      </c>
      <c r="H522" t="s">
        <v>26</v>
      </c>
      <c r="I522">
        <v>2</v>
      </c>
      <c r="J522" t="s">
        <v>48</v>
      </c>
      <c r="K522" t="s">
        <v>46</v>
      </c>
      <c r="L522" t="s">
        <v>45</v>
      </c>
      <c r="M522" t="s">
        <v>78</v>
      </c>
      <c r="N522" s="15">
        <v>118.59</v>
      </c>
      <c r="O522" s="16">
        <v>-2.1</v>
      </c>
      <c r="P522">
        <v>0</v>
      </c>
    </row>
    <row r="523" spans="1:16" x14ac:dyDescent="0.3">
      <c r="A523" t="s">
        <v>65</v>
      </c>
      <c r="B523" t="s">
        <v>21</v>
      </c>
      <c r="C523" t="s">
        <v>62</v>
      </c>
      <c r="D523" t="s">
        <v>10</v>
      </c>
      <c r="E523" t="s">
        <v>69</v>
      </c>
      <c r="F523" t="s">
        <v>9</v>
      </c>
      <c r="G523" s="15">
        <v>188.96</v>
      </c>
      <c r="H523" t="s">
        <v>27</v>
      </c>
      <c r="I523">
        <v>3</v>
      </c>
      <c r="J523" t="s">
        <v>47</v>
      </c>
      <c r="K523" t="s">
        <v>45</v>
      </c>
      <c r="L523" t="s">
        <v>45</v>
      </c>
      <c r="M523" t="s">
        <v>68</v>
      </c>
      <c r="N523" s="15">
        <v>158.91999999999999</v>
      </c>
      <c r="O523" s="16">
        <v>18.899999999999999</v>
      </c>
      <c r="P523">
        <v>1</v>
      </c>
    </row>
    <row r="524" spans="1:16" x14ac:dyDescent="0.3">
      <c r="A524" t="s">
        <v>65</v>
      </c>
      <c r="B524" t="s">
        <v>22</v>
      </c>
      <c r="C524" t="s">
        <v>22</v>
      </c>
      <c r="D524" t="s">
        <v>11</v>
      </c>
      <c r="E524" t="s">
        <v>79</v>
      </c>
      <c r="F524" t="s">
        <v>9</v>
      </c>
      <c r="G524" s="15">
        <v>32.5</v>
      </c>
      <c r="H524" t="s">
        <v>25</v>
      </c>
      <c r="I524">
        <v>1</v>
      </c>
      <c r="J524" t="s">
        <v>47</v>
      </c>
      <c r="K524" t="s">
        <v>45</v>
      </c>
      <c r="L524" t="s">
        <v>45</v>
      </c>
      <c r="M524" t="s">
        <v>78</v>
      </c>
      <c r="N524" s="15">
        <v>33.39</v>
      </c>
      <c r="O524" s="16">
        <v>-2.7</v>
      </c>
      <c r="P524">
        <v>0</v>
      </c>
    </row>
    <row r="525" spans="1:16" x14ac:dyDescent="0.3">
      <c r="A525" t="s">
        <v>57</v>
      </c>
      <c r="B525" t="s">
        <v>19</v>
      </c>
      <c r="C525" t="s">
        <v>19</v>
      </c>
      <c r="D525" t="s">
        <v>10</v>
      </c>
      <c r="E525" t="s">
        <v>58</v>
      </c>
      <c r="F525" t="s">
        <v>9</v>
      </c>
      <c r="G525" s="15">
        <v>154.69</v>
      </c>
      <c r="H525" t="s">
        <v>26</v>
      </c>
      <c r="I525">
        <v>2</v>
      </c>
      <c r="J525" t="s">
        <v>48</v>
      </c>
      <c r="K525" t="s">
        <v>45</v>
      </c>
      <c r="L525" t="s">
        <v>45</v>
      </c>
      <c r="M525" t="s">
        <v>78</v>
      </c>
      <c r="N525" s="15">
        <v>151.19</v>
      </c>
      <c r="O525" s="16">
        <v>2.2999999999999998</v>
      </c>
      <c r="P525">
        <v>0</v>
      </c>
    </row>
    <row r="526" spans="1:16" x14ac:dyDescent="0.3">
      <c r="A526" t="s">
        <v>57</v>
      </c>
      <c r="B526" t="s">
        <v>21</v>
      </c>
      <c r="C526" t="s">
        <v>62</v>
      </c>
      <c r="D526" t="s">
        <v>15</v>
      </c>
      <c r="E526" t="s">
        <v>76</v>
      </c>
      <c r="F526" t="s">
        <v>9</v>
      </c>
      <c r="G526" s="15">
        <v>119.78</v>
      </c>
      <c r="H526" t="s">
        <v>25</v>
      </c>
      <c r="I526">
        <v>1</v>
      </c>
      <c r="J526" t="s">
        <v>48</v>
      </c>
      <c r="K526" t="s">
        <v>46</v>
      </c>
      <c r="L526" t="s">
        <v>45</v>
      </c>
      <c r="M526" t="s">
        <v>61</v>
      </c>
      <c r="N526" s="15">
        <v>118.59</v>
      </c>
      <c r="O526" s="16">
        <v>1</v>
      </c>
      <c r="P526">
        <v>0</v>
      </c>
    </row>
    <row r="527" spans="1:16" x14ac:dyDescent="0.3">
      <c r="A527" t="s">
        <v>60</v>
      </c>
      <c r="B527" t="s">
        <v>21</v>
      </c>
      <c r="C527" t="s">
        <v>62</v>
      </c>
      <c r="D527" t="s">
        <v>15</v>
      </c>
      <c r="E527" t="s">
        <v>76</v>
      </c>
      <c r="F527" t="s">
        <v>9</v>
      </c>
      <c r="G527" s="15">
        <v>99.38</v>
      </c>
      <c r="H527" t="s">
        <v>27</v>
      </c>
      <c r="I527">
        <v>3</v>
      </c>
      <c r="J527" t="s">
        <v>48</v>
      </c>
      <c r="K527" t="s">
        <v>46</v>
      </c>
      <c r="L527" t="s">
        <v>45</v>
      </c>
      <c r="M527" t="s">
        <v>72</v>
      </c>
      <c r="N527" s="15">
        <v>116.32</v>
      </c>
      <c r="O527" s="16">
        <v>-14.6</v>
      </c>
      <c r="P527">
        <v>0</v>
      </c>
    </row>
    <row r="528" spans="1:16" x14ac:dyDescent="0.3">
      <c r="A528" t="s">
        <v>65</v>
      </c>
      <c r="B528" t="s">
        <v>21</v>
      </c>
      <c r="C528" t="s">
        <v>62</v>
      </c>
      <c r="D528" t="s">
        <v>11</v>
      </c>
      <c r="E528" t="s">
        <v>70</v>
      </c>
      <c r="F528" t="s">
        <v>9</v>
      </c>
      <c r="G528" s="15">
        <v>25.27</v>
      </c>
      <c r="H528" t="s">
        <v>26</v>
      </c>
      <c r="I528">
        <v>2</v>
      </c>
      <c r="J528" t="s">
        <v>47</v>
      </c>
      <c r="K528" t="s">
        <v>46</v>
      </c>
      <c r="L528" t="s">
        <v>45</v>
      </c>
      <c r="M528" t="s">
        <v>78</v>
      </c>
      <c r="N528" s="15">
        <v>32.630000000000003</v>
      </c>
      <c r="O528" s="16">
        <v>-22.6</v>
      </c>
      <c r="P528">
        <v>0</v>
      </c>
    </row>
    <row r="529" spans="1:16" x14ac:dyDescent="0.3">
      <c r="A529" t="s">
        <v>57</v>
      </c>
      <c r="B529" t="s">
        <v>21</v>
      </c>
      <c r="C529" t="s">
        <v>62</v>
      </c>
      <c r="D529" t="s">
        <v>10</v>
      </c>
      <c r="E529" t="s">
        <v>69</v>
      </c>
      <c r="F529" t="s">
        <v>9</v>
      </c>
      <c r="G529" s="15">
        <v>139.22999999999999</v>
      </c>
      <c r="H529" t="s">
        <v>26</v>
      </c>
      <c r="I529">
        <v>2</v>
      </c>
      <c r="J529" t="s">
        <v>48</v>
      </c>
      <c r="K529" t="s">
        <v>45</v>
      </c>
      <c r="L529" t="s">
        <v>45</v>
      </c>
      <c r="M529" t="s">
        <v>64</v>
      </c>
      <c r="N529" s="15">
        <v>150.38999999999999</v>
      </c>
      <c r="O529" s="16">
        <v>-7.4</v>
      </c>
      <c r="P529">
        <v>0</v>
      </c>
    </row>
    <row r="530" spans="1:16" x14ac:dyDescent="0.3">
      <c r="A530" t="s">
        <v>65</v>
      </c>
      <c r="B530" t="s">
        <v>19</v>
      </c>
      <c r="C530" t="s">
        <v>19</v>
      </c>
      <c r="D530" t="s">
        <v>12</v>
      </c>
      <c r="E530" t="s">
        <v>66</v>
      </c>
      <c r="F530" t="s">
        <v>13</v>
      </c>
      <c r="G530" s="15">
        <v>163.36000000000001</v>
      </c>
      <c r="H530" t="s">
        <v>26</v>
      </c>
      <c r="I530">
        <v>2</v>
      </c>
      <c r="J530" t="s">
        <v>44</v>
      </c>
      <c r="K530" t="s">
        <v>46</v>
      </c>
      <c r="L530" t="s">
        <v>45</v>
      </c>
      <c r="M530" t="s">
        <v>68</v>
      </c>
      <c r="N530" s="15">
        <v>178.49</v>
      </c>
      <c r="O530" s="16">
        <v>-8.5</v>
      </c>
      <c r="P530">
        <v>0</v>
      </c>
    </row>
    <row r="531" spans="1:16" x14ac:dyDescent="0.3">
      <c r="A531" t="s">
        <v>65</v>
      </c>
      <c r="B531" t="s">
        <v>22</v>
      </c>
      <c r="C531" t="s">
        <v>22</v>
      </c>
      <c r="D531" t="s">
        <v>14</v>
      </c>
      <c r="E531" t="s">
        <v>63</v>
      </c>
      <c r="F531" t="s">
        <v>9</v>
      </c>
      <c r="G531" s="15">
        <v>72.34</v>
      </c>
      <c r="H531" t="s">
        <v>26</v>
      </c>
      <c r="I531">
        <v>2</v>
      </c>
      <c r="J531" t="s">
        <v>47</v>
      </c>
      <c r="K531" t="s">
        <v>46</v>
      </c>
      <c r="L531" t="s">
        <v>45</v>
      </c>
      <c r="M531" t="s">
        <v>68</v>
      </c>
      <c r="N531" s="15">
        <v>68.150000000000006</v>
      </c>
      <c r="O531" s="16">
        <v>6.1</v>
      </c>
      <c r="P531">
        <v>0</v>
      </c>
    </row>
    <row r="532" spans="1:16" x14ac:dyDescent="0.3">
      <c r="A532" t="s">
        <v>65</v>
      </c>
      <c r="B532" t="s">
        <v>19</v>
      </c>
      <c r="C532" t="s">
        <v>19</v>
      </c>
      <c r="D532" t="s">
        <v>14</v>
      </c>
      <c r="E532" t="s">
        <v>63</v>
      </c>
      <c r="F532" t="s">
        <v>9</v>
      </c>
      <c r="G532" s="15">
        <v>71.22</v>
      </c>
      <c r="H532" t="s">
        <v>27</v>
      </c>
      <c r="I532">
        <v>3</v>
      </c>
      <c r="J532" t="s">
        <v>48</v>
      </c>
      <c r="K532" t="s">
        <v>45</v>
      </c>
      <c r="L532" t="s">
        <v>45</v>
      </c>
      <c r="M532" t="s">
        <v>78</v>
      </c>
      <c r="N532" s="15">
        <v>68.150000000000006</v>
      </c>
      <c r="O532" s="16">
        <v>4.5</v>
      </c>
      <c r="P532">
        <v>0</v>
      </c>
    </row>
    <row r="533" spans="1:16" x14ac:dyDescent="0.3">
      <c r="A533" t="s">
        <v>60</v>
      </c>
      <c r="B533" t="s">
        <v>19</v>
      </c>
      <c r="C533" t="s">
        <v>19</v>
      </c>
      <c r="D533" t="s">
        <v>15</v>
      </c>
      <c r="E533" t="s">
        <v>75</v>
      </c>
      <c r="F533" t="s">
        <v>9</v>
      </c>
      <c r="G533" s="15">
        <v>134.34</v>
      </c>
      <c r="H533" t="s">
        <v>26</v>
      </c>
      <c r="I533">
        <v>2</v>
      </c>
      <c r="J533" t="s">
        <v>44</v>
      </c>
      <c r="K533" t="s">
        <v>45</v>
      </c>
      <c r="L533" t="s">
        <v>45</v>
      </c>
      <c r="M533" t="s">
        <v>72</v>
      </c>
      <c r="N533" s="15">
        <v>119</v>
      </c>
      <c r="O533" s="16">
        <v>12.9</v>
      </c>
      <c r="P533">
        <v>0</v>
      </c>
    </row>
    <row r="534" spans="1:16" x14ac:dyDescent="0.3">
      <c r="A534" t="s">
        <v>65</v>
      </c>
      <c r="B534" t="s">
        <v>19</v>
      </c>
      <c r="C534" t="s">
        <v>19</v>
      </c>
      <c r="D534" t="s">
        <v>10</v>
      </c>
      <c r="E534" t="s">
        <v>58</v>
      </c>
      <c r="F534" t="s">
        <v>9</v>
      </c>
      <c r="G534" s="15">
        <v>166.38</v>
      </c>
      <c r="H534" t="s">
        <v>26</v>
      </c>
      <c r="I534">
        <v>2</v>
      </c>
      <c r="J534" t="s">
        <v>48</v>
      </c>
      <c r="K534" t="s">
        <v>45</v>
      </c>
      <c r="L534" t="s">
        <v>46</v>
      </c>
      <c r="M534" t="s">
        <v>78</v>
      </c>
      <c r="N534" s="15">
        <v>166.29</v>
      </c>
      <c r="O534" s="16">
        <v>0.1</v>
      </c>
      <c r="P534">
        <v>0</v>
      </c>
    </row>
    <row r="535" spans="1:16" x14ac:dyDescent="0.3">
      <c r="A535" t="s">
        <v>60</v>
      </c>
      <c r="B535" t="s">
        <v>21</v>
      </c>
      <c r="C535" t="s">
        <v>62</v>
      </c>
      <c r="D535" t="s">
        <v>14</v>
      </c>
      <c r="E535" t="s">
        <v>77</v>
      </c>
      <c r="F535" t="s">
        <v>9</v>
      </c>
      <c r="G535" s="15">
        <v>65.17</v>
      </c>
      <c r="H535" t="s">
        <v>26</v>
      </c>
      <c r="I535">
        <v>2</v>
      </c>
      <c r="J535" t="s">
        <v>48</v>
      </c>
      <c r="K535" t="s">
        <v>46</v>
      </c>
      <c r="L535" t="s">
        <v>45</v>
      </c>
      <c r="M535" t="s">
        <v>67</v>
      </c>
      <c r="N535" s="15">
        <v>67.13</v>
      </c>
      <c r="O535" s="16">
        <v>-2.9</v>
      </c>
      <c r="P535">
        <v>0</v>
      </c>
    </row>
    <row r="536" spans="1:16" x14ac:dyDescent="0.3">
      <c r="A536" t="s">
        <v>65</v>
      </c>
      <c r="B536" t="s">
        <v>19</v>
      </c>
      <c r="C536" t="s">
        <v>19</v>
      </c>
      <c r="D536" t="s">
        <v>10</v>
      </c>
      <c r="E536" t="s">
        <v>69</v>
      </c>
      <c r="F536" t="s">
        <v>9</v>
      </c>
      <c r="G536" s="15">
        <v>167.68</v>
      </c>
      <c r="H536" t="s">
        <v>25</v>
      </c>
      <c r="I536">
        <v>1</v>
      </c>
      <c r="J536" t="s">
        <v>47</v>
      </c>
      <c r="K536" t="s">
        <v>45</v>
      </c>
      <c r="L536" t="s">
        <v>45</v>
      </c>
      <c r="M536" t="s">
        <v>61</v>
      </c>
      <c r="N536" s="15">
        <v>158.91999999999999</v>
      </c>
      <c r="O536" s="16">
        <v>5.5</v>
      </c>
      <c r="P536">
        <v>0</v>
      </c>
    </row>
    <row r="537" spans="1:16" x14ac:dyDescent="0.3">
      <c r="A537" t="s">
        <v>60</v>
      </c>
      <c r="B537" t="s">
        <v>22</v>
      </c>
      <c r="C537" t="s">
        <v>22</v>
      </c>
      <c r="D537" t="s">
        <v>15</v>
      </c>
      <c r="E537" t="s">
        <v>75</v>
      </c>
      <c r="F537" t="s">
        <v>9</v>
      </c>
      <c r="G537" s="15">
        <v>129.79</v>
      </c>
      <c r="H537" t="s">
        <v>26</v>
      </c>
      <c r="I537">
        <v>2</v>
      </c>
      <c r="J537" t="s">
        <v>48</v>
      </c>
      <c r="K537" t="s">
        <v>45</v>
      </c>
      <c r="L537" t="s">
        <v>45</v>
      </c>
      <c r="M537" t="s">
        <v>72</v>
      </c>
      <c r="N537" s="15">
        <v>119</v>
      </c>
      <c r="O537" s="16">
        <v>9.1</v>
      </c>
      <c r="P537">
        <v>0</v>
      </c>
    </row>
    <row r="538" spans="1:16" x14ac:dyDescent="0.3">
      <c r="A538" t="s">
        <v>65</v>
      </c>
      <c r="B538" t="s">
        <v>22</v>
      </c>
      <c r="C538" t="s">
        <v>22</v>
      </c>
      <c r="D538" t="s">
        <v>8</v>
      </c>
      <c r="E538" t="s">
        <v>73</v>
      </c>
      <c r="F538" t="s">
        <v>9</v>
      </c>
      <c r="G538" s="15">
        <v>82.44</v>
      </c>
      <c r="H538" t="s">
        <v>25</v>
      </c>
      <c r="I538">
        <v>1</v>
      </c>
      <c r="J538" t="s">
        <v>47</v>
      </c>
      <c r="K538" t="s">
        <v>45</v>
      </c>
      <c r="L538" t="s">
        <v>45</v>
      </c>
      <c r="M538" t="s">
        <v>68</v>
      </c>
      <c r="N538" s="15">
        <v>88.05</v>
      </c>
      <c r="O538" s="16">
        <v>-6.4</v>
      </c>
      <c r="P538">
        <v>0</v>
      </c>
    </row>
    <row r="539" spans="1:16" x14ac:dyDescent="0.3">
      <c r="A539" t="s">
        <v>60</v>
      </c>
      <c r="B539" t="s">
        <v>19</v>
      </c>
      <c r="C539" t="s">
        <v>19</v>
      </c>
      <c r="D539" t="s">
        <v>10</v>
      </c>
      <c r="E539" t="s">
        <v>69</v>
      </c>
      <c r="F539" t="s">
        <v>9</v>
      </c>
      <c r="G539" s="15">
        <v>171.33</v>
      </c>
      <c r="H539" t="s">
        <v>26</v>
      </c>
      <c r="I539">
        <v>2</v>
      </c>
      <c r="J539" t="s">
        <v>48</v>
      </c>
      <c r="K539" t="s">
        <v>45</v>
      </c>
      <c r="L539" t="s">
        <v>45</v>
      </c>
      <c r="M539" t="s">
        <v>67</v>
      </c>
      <c r="N539" s="15">
        <v>158.6</v>
      </c>
      <c r="O539" s="16">
        <v>8</v>
      </c>
      <c r="P539">
        <v>0</v>
      </c>
    </row>
    <row r="540" spans="1:16" x14ac:dyDescent="0.3">
      <c r="A540" t="s">
        <v>57</v>
      </c>
      <c r="B540" t="s">
        <v>19</v>
      </c>
      <c r="C540" t="s">
        <v>19</v>
      </c>
      <c r="D540" t="s">
        <v>10</v>
      </c>
      <c r="E540" t="s">
        <v>69</v>
      </c>
      <c r="F540" t="s">
        <v>9</v>
      </c>
      <c r="G540" s="15">
        <v>158.36000000000001</v>
      </c>
      <c r="H540" t="s">
        <v>25</v>
      </c>
      <c r="I540">
        <v>1</v>
      </c>
      <c r="J540" t="s">
        <v>48</v>
      </c>
      <c r="K540" t="s">
        <v>46</v>
      </c>
      <c r="L540" t="s">
        <v>45</v>
      </c>
      <c r="M540" t="s">
        <v>68</v>
      </c>
      <c r="N540" s="15">
        <v>150.38999999999999</v>
      </c>
      <c r="O540" s="16">
        <v>5.3</v>
      </c>
      <c r="P540">
        <v>0</v>
      </c>
    </row>
    <row r="541" spans="1:16" x14ac:dyDescent="0.3">
      <c r="A541" t="s">
        <v>65</v>
      </c>
      <c r="B541" t="s">
        <v>20</v>
      </c>
      <c r="C541" t="s">
        <v>20</v>
      </c>
      <c r="D541" t="s">
        <v>15</v>
      </c>
      <c r="E541" t="s">
        <v>75</v>
      </c>
      <c r="F541" t="s">
        <v>9</v>
      </c>
      <c r="G541" s="15">
        <v>138.13</v>
      </c>
      <c r="H541" t="s">
        <v>25</v>
      </c>
      <c r="I541">
        <v>1</v>
      </c>
      <c r="J541" t="s">
        <v>48</v>
      </c>
      <c r="K541" t="s">
        <v>45</v>
      </c>
      <c r="L541" t="s">
        <v>46</v>
      </c>
      <c r="M541" t="s">
        <v>59</v>
      </c>
      <c r="N541" s="15">
        <v>126.9</v>
      </c>
      <c r="O541" s="16">
        <v>8.8000000000000007</v>
      </c>
      <c r="P541">
        <v>0</v>
      </c>
    </row>
    <row r="542" spans="1:16" x14ac:dyDescent="0.3">
      <c r="A542" t="s">
        <v>65</v>
      </c>
      <c r="B542" t="s">
        <v>21</v>
      </c>
      <c r="C542" t="s">
        <v>62</v>
      </c>
      <c r="D542" t="s">
        <v>8</v>
      </c>
      <c r="E542" t="s">
        <v>74</v>
      </c>
      <c r="F542" t="s">
        <v>9</v>
      </c>
      <c r="G542" s="15">
        <v>93.67</v>
      </c>
      <c r="H542" t="s">
        <v>26</v>
      </c>
      <c r="I542">
        <v>2</v>
      </c>
      <c r="J542" t="s">
        <v>44</v>
      </c>
      <c r="K542" t="s">
        <v>45</v>
      </c>
      <c r="L542" t="s">
        <v>45</v>
      </c>
      <c r="M542" t="s">
        <v>61</v>
      </c>
      <c r="N542" s="15">
        <v>91.13</v>
      </c>
      <c r="O542" s="16">
        <v>2.8</v>
      </c>
      <c r="P542">
        <v>0</v>
      </c>
    </row>
    <row r="543" spans="1:16" x14ac:dyDescent="0.3">
      <c r="A543" t="s">
        <v>65</v>
      </c>
      <c r="B543" t="s">
        <v>17</v>
      </c>
      <c r="C543" t="s">
        <v>17</v>
      </c>
      <c r="D543" t="s">
        <v>15</v>
      </c>
      <c r="E543" t="s">
        <v>75</v>
      </c>
      <c r="F543" t="s">
        <v>9</v>
      </c>
      <c r="G543" s="15">
        <v>111.25</v>
      </c>
      <c r="H543" t="s">
        <v>27</v>
      </c>
      <c r="I543">
        <v>3</v>
      </c>
      <c r="J543" t="s">
        <v>47</v>
      </c>
      <c r="K543" t="s">
        <v>45</v>
      </c>
      <c r="L543" t="s">
        <v>45</v>
      </c>
      <c r="M543" t="s">
        <v>64</v>
      </c>
      <c r="N543" s="15">
        <v>126.9</v>
      </c>
      <c r="O543" s="16">
        <v>-12.3</v>
      </c>
      <c r="P543">
        <v>0</v>
      </c>
    </row>
    <row r="544" spans="1:16" x14ac:dyDescent="0.3">
      <c r="A544" t="s">
        <v>65</v>
      </c>
      <c r="B544" t="s">
        <v>21</v>
      </c>
      <c r="C544" t="s">
        <v>62</v>
      </c>
      <c r="D544" t="s">
        <v>10</v>
      </c>
      <c r="E544" t="s">
        <v>58</v>
      </c>
      <c r="F544" t="s">
        <v>9</v>
      </c>
      <c r="G544" s="15">
        <v>134.54</v>
      </c>
      <c r="H544" t="s">
        <v>27</v>
      </c>
      <c r="I544">
        <v>3</v>
      </c>
      <c r="J544" t="s">
        <v>47</v>
      </c>
      <c r="K544" t="s">
        <v>46</v>
      </c>
      <c r="L544" t="s">
        <v>45</v>
      </c>
      <c r="M544" t="s">
        <v>61</v>
      </c>
      <c r="N544" s="15">
        <v>166.29</v>
      </c>
      <c r="O544" s="16">
        <v>-19.100000000000001</v>
      </c>
      <c r="P544">
        <v>0</v>
      </c>
    </row>
    <row r="545" spans="1:16" x14ac:dyDescent="0.3">
      <c r="A545" t="s">
        <v>65</v>
      </c>
      <c r="B545" t="s">
        <v>19</v>
      </c>
      <c r="C545" t="s">
        <v>19</v>
      </c>
      <c r="D545" t="s">
        <v>11</v>
      </c>
      <c r="E545" t="s">
        <v>79</v>
      </c>
      <c r="F545" t="s">
        <v>9</v>
      </c>
      <c r="G545" s="15">
        <v>25.07</v>
      </c>
      <c r="H545" t="s">
        <v>26</v>
      </c>
      <c r="I545">
        <v>2</v>
      </c>
      <c r="J545" t="s">
        <v>47</v>
      </c>
      <c r="K545" t="s">
        <v>46</v>
      </c>
      <c r="L545" t="s">
        <v>45</v>
      </c>
      <c r="M545" t="s">
        <v>78</v>
      </c>
      <c r="N545" s="15">
        <v>33.39</v>
      </c>
      <c r="O545" s="16">
        <v>-24.9</v>
      </c>
      <c r="P545">
        <v>0</v>
      </c>
    </row>
    <row r="546" spans="1:16" x14ac:dyDescent="0.3">
      <c r="A546" t="s">
        <v>57</v>
      </c>
      <c r="B546" t="s">
        <v>19</v>
      </c>
      <c r="C546" t="s">
        <v>19</v>
      </c>
      <c r="D546" t="s">
        <v>8</v>
      </c>
      <c r="E546" t="s">
        <v>74</v>
      </c>
      <c r="F546" t="s">
        <v>9</v>
      </c>
      <c r="G546" s="15">
        <v>79.12</v>
      </c>
      <c r="H546" t="s">
        <v>25</v>
      </c>
      <c r="I546">
        <v>1</v>
      </c>
      <c r="J546" t="s">
        <v>47</v>
      </c>
      <c r="K546" t="s">
        <v>45</v>
      </c>
      <c r="L546" t="s">
        <v>46</v>
      </c>
      <c r="M546" t="s">
        <v>78</v>
      </c>
      <c r="N546" s="15">
        <v>83.41</v>
      </c>
      <c r="O546" s="16">
        <v>-5.0999999999999996</v>
      </c>
      <c r="P546">
        <v>0</v>
      </c>
    </row>
    <row r="547" spans="1:16" x14ac:dyDescent="0.3">
      <c r="A547" t="s">
        <v>60</v>
      </c>
      <c r="B547" t="s">
        <v>18</v>
      </c>
      <c r="C547" t="s">
        <v>18</v>
      </c>
      <c r="D547" t="s">
        <v>10</v>
      </c>
      <c r="E547" t="s">
        <v>69</v>
      </c>
      <c r="F547" t="s">
        <v>9</v>
      </c>
      <c r="G547" s="15">
        <v>183.02</v>
      </c>
      <c r="H547" t="s">
        <v>26</v>
      </c>
      <c r="I547">
        <v>2</v>
      </c>
      <c r="J547" t="s">
        <v>48</v>
      </c>
      <c r="K547" t="s">
        <v>45</v>
      </c>
      <c r="L547" t="s">
        <v>45</v>
      </c>
      <c r="M547" t="s">
        <v>72</v>
      </c>
      <c r="N547" s="15">
        <v>158.6</v>
      </c>
      <c r="O547" s="16">
        <v>15.4</v>
      </c>
      <c r="P547">
        <v>1</v>
      </c>
    </row>
    <row r="548" spans="1:16" x14ac:dyDescent="0.3">
      <c r="A548" t="s">
        <v>60</v>
      </c>
      <c r="B548" t="s">
        <v>21</v>
      </c>
      <c r="C548" t="s">
        <v>62</v>
      </c>
      <c r="D548" t="s">
        <v>12</v>
      </c>
      <c r="E548" t="s">
        <v>80</v>
      </c>
      <c r="F548" t="s">
        <v>13</v>
      </c>
      <c r="G548" s="15">
        <v>149.78</v>
      </c>
      <c r="H548" t="s">
        <v>27</v>
      </c>
      <c r="I548">
        <v>3</v>
      </c>
      <c r="J548" t="s">
        <v>48</v>
      </c>
      <c r="K548" t="s">
        <v>45</v>
      </c>
      <c r="L548" t="s">
        <v>45</v>
      </c>
      <c r="M548" t="s">
        <v>72</v>
      </c>
      <c r="N548" s="15">
        <v>167.63</v>
      </c>
      <c r="O548" s="16">
        <v>-10.6</v>
      </c>
      <c r="P548">
        <v>0</v>
      </c>
    </row>
    <row r="549" spans="1:16" x14ac:dyDescent="0.3">
      <c r="A549" t="s">
        <v>60</v>
      </c>
      <c r="B549" t="s">
        <v>21</v>
      </c>
      <c r="C549" t="s">
        <v>62</v>
      </c>
      <c r="D549" t="s">
        <v>15</v>
      </c>
      <c r="E549" t="s">
        <v>76</v>
      </c>
      <c r="F549" t="s">
        <v>9</v>
      </c>
      <c r="G549" s="15">
        <v>111.57</v>
      </c>
      <c r="H549" t="s">
        <v>26</v>
      </c>
      <c r="I549">
        <v>2</v>
      </c>
      <c r="J549" t="s">
        <v>48</v>
      </c>
      <c r="K549" t="s">
        <v>46</v>
      </c>
      <c r="L549" t="s">
        <v>45</v>
      </c>
      <c r="M549" t="s">
        <v>64</v>
      </c>
      <c r="N549" s="15">
        <v>116.32</v>
      </c>
      <c r="O549" s="16">
        <v>-4.0999999999999996</v>
      </c>
      <c r="P549">
        <v>0</v>
      </c>
    </row>
    <row r="550" spans="1:16" x14ac:dyDescent="0.3">
      <c r="A550" t="s">
        <v>57</v>
      </c>
      <c r="B550" t="s">
        <v>18</v>
      </c>
      <c r="C550" t="s">
        <v>18</v>
      </c>
      <c r="D550" t="s">
        <v>15</v>
      </c>
      <c r="E550" t="s">
        <v>75</v>
      </c>
      <c r="F550" t="s">
        <v>9</v>
      </c>
      <c r="G550" s="15">
        <v>120.83</v>
      </c>
      <c r="H550" t="s">
        <v>26</v>
      </c>
      <c r="I550">
        <v>2</v>
      </c>
      <c r="J550" t="s">
        <v>48</v>
      </c>
      <c r="K550" t="s">
        <v>45</v>
      </c>
      <c r="L550" t="s">
        <v>45</v>
      </c>
      <c r="M550" t="s">
        <v>59</v>
      </c>
      <c r="N550" s="15">
        <v>120.06</v>
      </c>
      <c r="O550" s="16">
        <v>0.6</v>
      </c>
      <c r="P550">
        <v>0</v>
      </c>
    </row>
    <row r="551" spans="1:16" x14ac:dyDescent="0.3">
      <c r="A551" t="s">
        <v>60</v>
      </c>
      <c r="B551" t="s">
        <v>17</v>
      </c>
      <c r="C551" t="s">
        <v>17</v>
      </c>
      <c r="D551" t="s">
        <v>15</v>
      </c>
      <c r="E551" t="s">
        <v>76</v>
      </c>
      <c r="F551" t="s">
        <v>9</v>
      </c>
      <c r="G551" s="15">
        <v>125.57</v>
      </c>
      <c r="H551" t="s">
        <v>25</v>
      </c>
      <c r="I551">
        <v>1</v>
      </c>
      <c r="J551" t="s">
        <v>47</v>
      </c>
      <c r="K551" t="s">
        <v>46</v>
      </c>
      <c r="L551" t="s">
        <v>45</v>
      </c>
      <c r="M551" t="s">
        <v>64</v>
      </c>
      <c r="N551" s="15">
        <v>116.32</v>
      </c>
      <c r="O551" s="16">
        <v>8</v>
      </c>
      <c r="P551">
        <v>0</v>
      </c>
    </row>
    <row r="552" spans="1:16" x14ac:dyDescent="0.3">
      <c r="A552" t="s">
        <v>57</v>
      </c>
      <c r="B552" t="s">
        <v>19</v>
      </c>
      <c r="C552" t="s">
        <v>19</v>
      </c>
      <c r="D552" t="s">
        <v>11</v>
      </c>
      <c r="E552" t="s">
        <v>79</v>
      </c>
      <c r="F552" t="s">
        <v>9</v>
      </c>
      <c r="G552" s="15">
        <v>26.24</v>
      </c>
      <c r="H552" t="s">
        <v>26</v>
      </c>
      <c r="I552">
        <v>2</v>
      </c>
      <c r="J552" t="s">
        <v>47</v>
      </c>
      <c r="K552" t="s">
        <v>46</v>
      </c>
      <c r="L552" t="s">
        <v>45</v>
      </c>
      <c r="M552" t="s">
        <v>64</v>
      </c>
      <c r="N552" s="15">
        <v>30.93</v>
      </c>
      <c r="O552" s="16">
        <v>-15.2</v>
      </c>
      <c r="P552">
        <v>0</v>
      </c>
    </row>
    <row r="553" spans="1:16" x14ac:dyDescent="0.3">
      <c r="A553" t="s">
        <v>60</v>
      </c>
      <c r="B553" t="s">
        <v>22</v>
      </c>
      <c r="C553" t="s">
        <v>22</v>
      </c>
      <c r="D553" t="s">
        <v>11</v>
      </c>
      <c r="E553" t="s">
        <v>70</v>
      </c>
      <c r="F553" t="s">
        <v>9</v>
      </c>
      <c r="G553" s="15">
        <v>23.51</v>
      </c>
      <c r="H553" t="s">
        <v>27</v>
      </c>
      <c r="I553">
        <v>3</v>
      </c>
      <c r="J553" t="s">
        <v>48</v>
      </c>
      <c r="K553" t="s">
        <v>45</v>
      </c>
      <c r="L553" t="s">
        <v>45</v>
      </c>
      <c r="M553" t="s">
        <v>68</v>
      </c>
      <c r="N553" s="15">
        <v>31.4</v>
      </c>
      <c r="O553" s="16">
        <v>-25.1</v>
      </c>
      <c r="P553">
        <v>0</v>
      </c>
    </row>
    <row r="554" spans="1:16" x14ac:dyDescent="0.3">
      <c r="A554" t="s">
        <v>60</v>
      </c>
      <c r="B554" t="s">
        <v>19</v>
      </c>
      <c r="C554" t="s">
        <v>19</v>
      </c>
      <c r="D554" t="s">
        <v>8</v>
      </c>
      <c r="E554" t="s">
        <v>74</v>
      </c>
      <c r="F554" t="s">
        <v>9</v>
      </c>
      <c r="G554" s="15">
        <v>68.55</v>
      </c>
      <c r="H554" t="s">
        <v>27</v>
      </c>
      <c r="I554">
        <v>3</v>
      </c>
      <c r="J554" t="s">
        <v>48</v>
      </c>
      <c r="K554" t="s">
        <v>45</v>
      </c>
      <c r="L554" t="s">
        <v>45</v>
      </c>
      <c r="M554" t="s">
        <v>78</v>
      </c>
      <c r="N554" s="15">
        <v>78.260000000000005</v>
      </c>
      <c r="O554" s="16">
        <v>-12.4</v>
      </c>
      <c r="P554">
        <v>0</v>
      </c>
    </row>
    <row r="555" spans="1:16" x14ac:dyDescent="0.3">
      <c r="A555" t="s">
        <v>60</v>
      </c>
      <c r="B555" t="s">
        <v>21</v>
      </c>
      <c r="C555" t="s">
        <v>62</v>
      </c>
      <c r="D555" t="s">
        <v>11</v>
      </c>
      <c r="E555" t="s">
        <v>79</v>
      </c>
      <c r="F555" t="s">
        <v>9</v>
      </c>
      <c r="G555" s="15">
        <v>31.1</v>
      </c>
      <c r="H555" t="s">
        <v>25</v>
      </c>
      <c r="I555">
        <v>1</v>
      </c>
      <c r="J555" t="s">
        <v>47</v>
      </c>
      <c r="K555" t="s">
        <v>45</v>
      </c>
      <c r="L555" t="s">
        <v>45</v>
      </c>
      <c r="M555" t="s">
        <v>72</v>
      </c>
      <c r="N555" s="15">
        <v>29.14</v>
      </c>
      <c r="O555" s="16">
        <v>6.7</v>
      </c>
      <c r="P555">
        <v>0</v>
      </c>
    </row>
    <row r="556" spans="1:16" x14ac:dyDescent="0.3">
      <c r="A556" t="s">
        <v>60</v>
      </c>
      <c r="B556" t="s">
        <v>21</v>
      </c>
      <c r="C556" t="s">
        <v>62</v>
      </c>
      <c r="D556" t="s">
        <v>11</v>
      </c>
      <c r="E556" t="s">
        <v>70</v>
      </c>
      <c r="F556" t="s">
        <v>9</v>
      </c>
      <c r="G556" s="15">
        <v>30.8</v>
      </c>
      <c r="H556" t="s">
        <v>27</v>
      </c>
      <c r="I556">
        <v>3</v>
      </c>
      <c r="J556" t="s">
        <v>48</v>
      </c>
      <c r="K556" t="s">
        <v>46</v>
      </c>
      <c r="L556" t="s">
        <v>45</v>
      </c>
      <c r="M556" t="s">
        <v>59</v>
      </c>
      <c r="N556" s="15">
        <v>31.4</v>
      </c>
      <c r="O556" s="16">
        <v>-1.9</v>
      </c>
      <c r="P556">
        <v>0</v>
      </c>
    </row>
    <row r="557" spans="1:16" x14ac:dyDescent="0.3">
      <c r="A557" t="s">
        <v>60</v>
      </c>
      <c r="B557" t="s">
        <v>21</v>
      </c>
      <c r="C557" t="s">
        <v>62</v>
      </c>
      <c r="D557" t="s">
        <v>15</v>
      </c>
      <c r="E557" t="s">
        <v>75</v>
      </c>
      <c r="F557" t="s">
        <v>9</v>
      </c>
      <c r="G557" s="15">
        <v>112.2</v>
      </c>
      <c r="H557" t="s">
        <v>26</v>
      </c>
      <c r="I557">
        <v>2</v>
      </c>
      <c r="J557" t="s">
        <v>48</v>
      </c>
      <c r="K557" t="s">
        <v>46</v>
      </c>
      <c r="L557" t="s">
        <v>45</v>
      </c>
      <c r="M557" t="s">
        <v>68</v>
      </c>
      <c r="N557" s="15">
        <v>119</v>
      </c>
      <c r="O557" s="16">
        <v>-5.7</v>
      </c>
      <c r="P557">
        <v>0</v>
      </c>
    </row>
    <row r="558" spans="1:16" x14ac:dyDescent="0.3">
      <c r="A558" t="s">
        <v>57</v>
      </c>
      <c r="B558" t="s">
        <v>20</v>
      </c>
      <c r="C558" t="s">
        <v>20</v>
      </c>
      <c r="D558" t="s">
        <v>8</v>
      </c>
      <c r="E558" t="s">
        <v>74</v>
      </c>
      <c r="F558" t="s">
        <v>9</v>
      </c>
      <c r="G558" s="15">
        <v>98.04</v>
      </c>
      <c r="H558" t="s">
        <v>26</v>
      </c>
      <c r="I558">
        <v>2</v>
      </c>
      <c r="J558" t="s">
        <v>48</v>
      </c>
      <c r="K558" t="s">
        <v>45</v>
      </c>
      <c r="L558" t="s">
        <v>46</v>
      </c>
      <c r="M558" t="s">
        <v>61</v>
      </c>
      <c r="N558" s="15">
        <v>83.41</v>
      </c>
      <c r="O558" s="16">
        <v>17.5</v>
      </c>
      <c r="P558">
        <v>1</v>
      </c>
    </row>
    <row r="559" spans="1:16" x14ac:dyDescent="0.3">
      <c r="A559" t="s">
        <v>65</v>
      </c>
      <c r="B559" t="s">
        <v>18</v>
      </c>
      <c r="C559" t="s">
        <v>18</v>
      </c>
      <c r="D559" t="s">
        <v>14</v>
      </c>
      <c r="E559" t="s">
        <v>71</v>
      </c>
      <c r="F559" t="s">
        <v>9</v>
      </c>
      <c r="G559" s="15">
        <v>80</v>
      </c>
      <c r="H559" t="s">
        <v>25</v>
      </c>
      <c r="I559">
        <v>1</v>
      </c>
      <c r="J559" t="s">
        <v>47</v>
      </c>
      <c r="K559" t="s">
        <v>45</v>
      </c>
      <c r="L559" t="s">
        <v>45</v>
      </c>
      <c r="M559" t="s">
        <v>78</v>
      </c>
      <c r="N559" s="15">
        <v>71.77</v>
      </c>
      <c r="O559" s="16">
        <v>11.5</v>
      </c>
      <c r="P559">
        <v>0</v>
      </c>
    </row>
    <row r="560" spans="1:16" x14ac:dyDescent="0.3">
      <c r="A560" t="s">
        <v>57</v>
      </c>
      <c r="B560" t="s">
        <v>22</v>
      </c>
      <c r="C560" t="s">
        <v>22</v>
      </c>
      <c r="D560" t="s">
        <v>14</v>
      </c>
      <c r="E560" t="s">
        <v>71</v>
      </c>
      <c r="F560" t="s">
        <v>9</v>
      </c>
      <c r="G560" s="15">
        <v>58.35</v>
      </c>
      <c r="H560" t="s">
        <v>26</v>
      </c>
      <c r="I560">
        <v>2</v>
      </c>
      <c r="J560" t="s">
        <v>48</v>
      </c>
      <c r="K560" t="s">
        <v>46</v>
      </c>
      <c r="L560" t="s">
        <v>45</v>
      </c>
      <c r="M560" t="s">
        <v>68</v>
      </c>
      <c r="N560" s="15">
        <v>65.77</v>
      </c>
      <c r="O560" s="16">
        <v>-11.3</v>
      </c>
      <c r="P560">
        <v>0</v>
      </c>
    </row>
    <row r="561" spans="1:16" x14ac:dyDescent="0.3">
      <c r="A561" t="s">
        <v>65</v>
      </c>
      <c r="B561" t="s">
        <v>21</v>
      </c>
      <c r="C561" t="s">
        <v>62</v>
      </c>
      <c r="D561" t="s">
        <v>14</v>
      </c>
      <c r="E561" t="s">
        <v>71</v>
      </c>
      <c r="F561" t="s">
        <v>9</v>
      </c>
      <c r="G561" s="15">
        <v>60.41</v>
      </c>
      <c r="H561" t="s">
        <v>26</v>
      </c>
      <c r="I561">
        <v>2</v>
      </c>
      <c r="J561" t="s">
        <v>47</v>
      </c>
      <c r="K561" t="s">
        <v>45</v>
      </c>
      <c r="L561" t="s">
        <v>45</v>
      </c>
      <c r="M561" t="s">
        <v>72</v>
      </c>
      <c r="N561" s="15">
        <v>71.77</v>
      </c>
      <c r="O561" s="16">
        <v>-15.8</v>
      </c>
      <c r="P561">
        <v>0</v>
      </c>
    </row>
    <row r="562" spans="1:16" x14ac:dyDescent="0.3">
      <c r="A562" t="s">
        <v>65</v>
      </c>
      <c r="B562" t="s">
        <v>22</v>
      </c>
      <c r="C562" t="s">
        <v>22</v>
      </c>
      <c r="D562" t="s">
        <v>14</v>
      </c>
      <c r="E562" t="s">
        <v>77</v>
      </c>
      <c r="F562" t="s">
        <v>9</v>
      </c>
      <c r="G562" s="15">
        <v>69.55</v>
      </c>
      <c r="H562" t="s">
        <v>27</v>
      </c>
      <c r="I562">
        <v>3</v>
      </c>
      <c r="J562" t="s">
        <v>47</v>
      </c>
      <c r="K562" t="s">
        <v>46</v>
      </c>
      <c r="L562" t="s">
        <v>46</v>
      </c>
      <c r="M562" t="s">
        <v>78</v>
      </c>
      <c r="N562" s="15">
        <v>70.66</v>
      </c>
      <c r="O562" s="16">
        <v>-1.6</v>
      </c>
      <c r="P562">
        <v>0</v>
      </c>
    </row>
    <row r="563" spans="1:16" x14ac:dyDescent="0.3">
      <c r="A563" t="s">
        <v>65</v>
      </c>
      <c r="B563" t="s">
        <v>19</v>
      </c>
      <c r="C563" t="s">
        <v>19</v>
      </c>
      <c r="D563" t="s">
        <v>15</v>
      </c>
      <c r="E563" t="s">
        <v>76</v>
      </c>
      <c r="F563" t="s">
        <v>9</v>
      </c>
      <c r="G563" s="15">
        <v>103.96</v>
      </c>
      <c r="H563" t="s">
        <v>26</v>
      </c>
      <c r="I563">
        <v>2</v>
      </c>
      <c r="J563" t="s">
        <v>48</v>
      </c>
      <c r="K563" t="s">
        <v>46</v>
      </c>
      <c r="L563" t="s">
        <v>45</v>
      </c>
      <c r="M563" t="s">
        <v>72</v>
      </c>
      <c r="N563" s="15">
        <v>126.51</v>
      </c>
      <c r="O563" s="16">
        <v>-17.8</v>
      </c>
      <c r="P563">
        <v>0</v>
      </c>
    </row>
    <row r="564" spans="1:16" x14ac:dyDescent="0.3">
      <c r="A564" t="s">
        <v>65</v>
      </c>
      <c r="B564" t="s">
        <v>20</v>
      </c>
      <c r="C564" t="s">
        <v>20</v>
      </c>
      <c r="D564" t="s">
        <v>15</v>
      </c>
      <c r="E564" t="s">
        <v>75</v>
      </c>
      <c r="F564" t="s">
        <v>9</v>
      </c>
      <c r="G564" s="15">
        <v>112.12</v>
      </c>
      <c r="H564" t="s">
        <v>26</v>
      </c>
      <c r="I564">
        <v>2</v>
      </c>
      <c r="J564" t="s">
        <v>47</v>
      </c>
      <c r="K564" t="s">
        <v>46</v>
      </c>
      <c r="L564" t="s">
        <v>45</v>
      </c>
      <c r="M564" t="s">
        <v>61</v>
      </c>
      <c r="N564" s="15">
        <v>126.9</v>
      </c>
      <c r="O564" s="16">
        <v>-11.6</v>
      </c>
      <c r="P564">
        <v>0</v>
      </c>
    </row>
    <row r="565" spans="1:16" x14ac:dyDescent="0.3">
      <c r="A565" t="s">
        <v>57</v>
      </c>
      <c r="B565" t="s">
        <v>22</v>
      </c>
      <c r="C565" t="s">
        <v>22</v>
      </c>
      <c r="D565" t="s">
        <v>15</v>
      </c>
      <c r="E565" t="s">
        <v>76</v>
      </c>
      <c r="F565" t="s">
        <v>9</v>
      </c>
      <c r="G565" s="15">
        <v>113.61</v>
      </c>
      <c r="H565" t="s">
        <v>25</v>
      </c>
      <c r="I565">
        <v>1</v>
      </c>
      <c r="J565" t="s">
        <v>47</v>
      </c>
      <c r="K565" t="s">
        <v>46</v>
      </c>
      <c r="L565" t="s">
        <v>45</v>
      </c>
      <c r="M565" t="s">
        <v>61</v>
      </c>
      <c r="N565" s="15">
        <v>118.59</v>
      </c>
      <c r="O565" s="16">
        <v>-4.2</v>
      </c>
      <c r="P565">
        <v>0</v>
      </c>
    </row>
    <row r="566" spans="1:16" x14ac:dyDescent="0.3">
      <c r="A566" t="s">
        <v>65</v>
      </c>
      <c r="B566" t="s">
        <v>19</v>
      </c>
      <c r="C566" t="s">
        <v>19</v>
      </c>
      <c r="D566" t="s">
        <v>11</v>
      </c>
      <c r="E566" t="s">
        <v>79</v>
      </c>
      <c r="F566" t="s">
        <v>9</v>
      </c>
      <c r="G566" s="15">
        <v>38.409999999999997</v>
      </c>
      <c r="H566" t="s">
        <v>25</v>
      </c>
      <c r="I566">
        <v>1</v>
      </c>
      <c r="J566" t="s">
        <v>47</v>
      </c>
      <c r="K566" t="s">
        <v>45</v>
      </c>
      <c r="L566" t="s">
        <v>45</v>
      </c>
      <c r="M566" t="s">
        <v>67</v>
      </c>
      <c r="N566" s="15">
        <v>33.39</v>
      </c>
      <c r="O566" s="16">
        <v>15</v>
      </c>
      <c r="P566">
        <v>0</v>
      </c>
    </row>
    <row r="567" spans="1:16" x14ac:dyDescent="0.3">
      <c r="A567" t="s">
        <v>65</v>
      </c>
      <c r="B567" t="s">
        <v>19</v>
      </c>
      <c r="C567" t="s">
        <v>19</v>
      </c>
      <c r="D567" t="s">
        <v>14</v>
      </c>
      <c r="E567" t="s">
        <v>71</v>
      </c>
      <c r="F567" t="s">
        <v>9</v>
      </c>
      <c r="G567" s="15">
        <v>80</v>
      </c>
      <c r="H567" t="s">
        <v>25</v>
      </c>
      <c r="I567">
        <v>1</v>
      </c>
      <c r="J567" t="s">
        <v>44</v>
      </c>
      <c r="K567" t="s">
        <v>45</v>
      </c>
      <c r="L567" t="s">
        <v>46</v>
      </c>
      <c r="M567" t="s">
        <v>67</v>
      </c>
      <c r="N567" s="15">
        <v>71.77</v>
      </c>
      <c r="O567" s="16">
        <v>11.5</v>
      </c>
      <c r="P567">
        <v>0</v>
      </c>
    </row>
    <row r="568" spans="1:16" x14ac:dyDescent="0.3">
      <c r="A568" t="s">
        <v>65</v>
      </c>
      <c r="B568" t="s">
        <v>21</v>
      </c>
      <c r="C568" t="s">
        <v>62</v>
      </c>
      <c r="D568" t="s">
        <v>12</v>
      </c>
      <c r="E568" t="s">
        <v>80</v>
      </c>
      <c r="F568" t="s">
        <v>13</v>
      </c>
      <c r="G568" s="15">
        <v>162.01</v>
      </c>
      <c r="H568" t="s">
        <v>26</v>
      </c>
      <c r="I568">
        <v>2</v>
      </c>
      <c r="J568" t="s">
        <v>48</v>
      </c>
      <c r="K568" t="s">
        <v>45</v>
      </c>
      <c r="L568" t="s">
        <v>45</v>
      </c>
      <c r="M568" t="s">
        <v>61</v>
      </c>
      <c r="N568" s="15">
        <v>176.57</v>
      </c>
      <c r="O568" s="16">
        <v>-8.1999999999999993</v>
      </c>
      <c r="P568">
        <v>0</v>
      </c>
    </row>
    <row r="569" spans="1:16" x14ac:dyDescent="0.3">
      <c r="A569" t="s">
        <v>65</v>
      </c>
      <c r="B569" t="s">
        <v>21</v>
      </c>
      <c r="C569" t="s">
        <v>62</v>
      </c>
      <c r="D569" t="s">
        <v>15</v>
      </c>
      <c r="E569" t="s">
        <v>76</v>
      </c>
      <c r="F569" t="s">
        <v>9</v>
      </c>
      <c r="G569" s="15">
        <v>125.71</v>
      </c>
      <c r="H569" t="s">
        <v>27</v>
      </c>
      <c r="I569">
        <v>3</v>
      </c>
      <c r="J569" t="s">
        <v>47</v>
      </c>
      <c r="K569" t="s">
        <v>45</v>
      </c>
      <c r="L569" t="s">
        <v>45</v>
      </c>
      <c r="M569" t="s">
        <v>67</v>
      </c>
      <c r="N569" s="15">
        <v>126.51</v>
      </c>
      <c r="O569" s="16">
        <v>-0.6</v>
      </c>
      <c r="P569">
        <v>0</v>
      </c>
    </row>
    <row r="570" spans="1:16" x14ac:dyDescent="0.3">
      <c r="A570" t="s">
        <v>65</v>
      </c>
      <c r="B570" t="s">
        <v>20</v>
      </c>
      <c r="C570" t="s">
        <v>20</v>
      </c>
      <c r="D570" t="s">
        <v>8</v>
      </c>
      <c r="E570" t="s">
        <v>74</v>
      </c>
      <c r="F570" t="s">
        <v>9</v>
      </c>
      <c r="G570" s="15">
        <v>61.72</v>
      </c>
      <c r="H570" t="s">
        <v>26</v>
      </c>
      <c r="I570">
        <v>2</v>
      </c>
      <c r="J570" t="s">
        <v>47</v>
      </c>
      <c r="K570" t="s">
        <v>45</v>
      </c>
      <c r="L570" t="s">
        <v>45</v>
      </c>
      <c r="M570" t="s">
        <v>78</v>
      </c>
      <c r="N570" s="15">
        <v>91.13</v>
      </c>
      <c r="O570" s="16">
        <v>-32.299999999999997</v>
      </c>
      <c r="P570">
        <v>0</v>
      </c>
    </row>
    <row r="571" spans="1:16" x14ac:dyDescent="0.3">
      <c r="A571" t="s">
        <v>65</v>
      </c>
      <c r="B571" t="s">
        <v>21</v>
      </c>
      <c r="C571" t="s">
        <v>62</v>
      </c>
      <c r="D571" t="s">
        <v>14</v>
      </c>
      <c r="E571" t="s">
        <v>77</v>
      </c>
      <c r="F571" t="s">
        <v>9</v>
      </c>
      <c r="G571" s="15">
        <v>77.48</v>
      </c>
      <c r="H571" t="s">
        <v>25</v>
      </c>
      <c r="I571">
        <v>1</v>
      </c>
      <c r="J571" t="s">
        <v>47</v>
      </c>
      <c r="K571" t="s">
        <v>46</v>
      </c>
      <c r="L571" t="s">
        <v>46</v>
      </c>
      <c r="M571" t="s">
        <v>61</v>
      </c>
      <c r="N571" s="15">
        <v>70.66</v>
      </c>
      <c r="O571" s="16">
        <v>9.6999999999999993</v>
      </c>
      <c r="P571">
        <v>0</v>
      </c>
    </row>
    <row r="572" spans="1:16" x14ac:dyDescent="0.3">
      <c r="A572" t="s">
        <v>57</v>
      </c>
      <c r="B572" t="s">
        <v>21</v>
      </c>
      <c r="C572" t="s">
        <v>62</v>
      </c>
      <c r="D572" t="s">
        <v>11</v>
      </c>
      <c r="E572" t="s">
        <v>79</v>
      </c>
      <c r="F572" t="s">
        <v>9</v>
      </c>
      <c r="G572" s="15">
        <v>34.31</v>
      </c>
      <c r="H572" t="s">
        <v>25</v>
      </c>
      <c r="I572">
        <v>1</v>
      </c>
      <c r="J572" t="s">
        <v>47</v>
      </c>
      <c r="K572" t="s">
        <v>46</v>
      </c>
      <c r="L572" t="s">
        <v>45</v>
      </c>
      <c r="M572" t="s">
        <v>59</v>
      </c>
      <c r="N572" s="15">
        <v>30.93</v>
      </c>
      <c r="O572" s="16">
        <v>10.9</v>
      </c>
      <c r="P572">
        <v>0</v>
      </c>
    </row>
    <row r="573" spans="1:16" x14ac:dyDescent="0.3">
      <c r="A573" t="s">
        <v>57</v>
      </c>
      <c r="B573" t="s">
        <v>19</v>
      </c>
      <c r="C573" t="s">
        <v>19</v>
      </c>
      <c r="D573" t="s">
        <v>14</v>
      </c>
      <c r="E573" t="s">
        <v>77</v>
      </c>
      <c r="F573" t="s">
        <v>9</v>
      </c>
      <c r="G573" s="15">
        <v>69.44</v>
      </c>
      <c r="H573" t="s">
        <v>27</v>
      </c>
      <c r="I573">
        <v>3</v>
      </c>
      <c r="J573" t="s">
        <v>47</v>
      </c>
      <c r="K573" t="s">
        <v>46</v>
      </c>
      <c r="L573" t="s">
        <v>45</v>
      </c>
      <c r="M573" t="s">
        <v>72</v>
      </c>
      <c r="N573" s="15">
        <v>65.97</v>
      </c>
      <c r="O573" s="16">
        <v>5.3</v>
      </c>
      <c r="P573">
        <v>0</v>
      </c>
    </row>
    <row r="574" spans="1:16" x14ac:dyDescent="0.3">
      <c r="A574" t="s">
        <v>57</v>
      </c>
      <c r="B574" t="s">
        <v>21</v>
      </c>
      <c r="C574" t="s">
        <v>62</v>
      </c>
      <c r="D574" t="s">
        <v>15</v>
      </c>
      <c r="E574" t="s">
        <v>76</v>
      </c>
      <c r="F574" t="s">
        <v>9</v>
      </c>
      <c r="G574" s="15">
        <v>108.57</v>
      </c>
      <c r="H574" t="s">
        <v>27</v>
      </c>
      <c r="I574">
        <v>3</v>
      </c>
      <c r="J574" t="s">
        <v>48</v>
      </c>
      <c r="K574" t="s">
        <v>46</v>
      </c>
      <c r="L574" t="s">
        <v>45</v>
      </c>
      <c r="M574" t="s">
        <v>59</v>
      </c>
      <c r="N574" s="15">
        <v>118.59</v>
      </c>
      <c r="O574" s="16">
        <v>-8.4</v>
      </c>
      <c r="P574">
        <v>0</v>
      </c>
    </row>
    <row r="575" spans="1:16" x14ac:dyDescent="0.3">
      <c r="A575" t="s">
        <v>60</v>
      </c>
      <c r="B575" t="s">
        <v>22</v>
      </c>
      <c r="C575" t="s">
        <v>22</v>
      </c>
      <c r="D575" t="s">
        <v>14</v>
      </c>
      <c r="E575" t="s">
        <v>71</v>
      </c>
      <c r="F575" t="s">
        <v>9</v>
      </c>
      <c r="G575" s="15">
        <v>67.7</v>
      </c>
      <c r="H575" t="s">
        <v>26</v>
      </c>
      <c r="I575">
        <v>2</v>
      </c>
      <c r="J575" t="s">
        <v>48</v>
      </c>
      <c r="K575" t="s">
        <v>45</v>
      </c>
      <c r="L575" t="s">
        <v>45</v>
      </c>
      <c r="M575" t="s">
        <v>64</v>
      </c>
      <c r="N575" s="15">
        <v>65.239999999999995</v>
      </c>
      <c r="O575" s="16">
        <v>3.8</v>
      </c>
      <c r="P575">
        <v>0</v>
      </c>
    </row>
    <row r="576" spans="1:16" x14ac:dyDescent="0.3">
      <c r="A576" t="s">
        <v>57</v>
      </c>
      <c r="B576" t="s">
        <v>22</v>
      </c>
      <c r="C576" t="s">
        <v>22</v>
      </c>
      <c r="D576" t="s">
        <v>15</v>
      </c>
      <c r="E576" t="s">
        <v>76</v>
      </c>
      <c r="F576" t="s">
        <v>9</v>
      </c>
      <c r="G576" s="15">
        <v>116.38</v>
      </c>
      <c r="H576" t="s">
        <v>26</v>
      </c>
      <c r="I576">
        <v>2</v>
      </c>
      <c r="J576" t="s">
        <v>48</v>
      </c>
      <c r="K576" t="s">
        <v>46</v>
      </c>
      <c r="L576" t="s">
        <v>45</v>
      </c>
      <c r="M576" t="s">
        <v>78</v>
      </c>
      <c r="N576" s="15">
        <v>118.59</v>
      </c>
      <c r="O576" s="16">
        <v>-1.9</v>
      </c>
      <c r="P576">
        <v>0</v>
      </c>
    </row>
    <row r="577" spans="1:16" x14ac:dyDescent="0.3">
      <c r="A577" t="s">
        <v>60</v>
      </c>
      <c r="B577" t="s">
        <v>17</v>
      </c>
      <c r="C577" t="s">
        <v>17</v>
      </c>
      <c r="D577" t="s">
        <v>11</v>
      </c>
      <c r="E577" t="s">
        <v>79</v>
      </c>
      <c r="F577" t="s">
        <v>9</v>
      </c>
      <c r="G577" s="15">
        <v>28.21</v>
      </c>
      <c r="H577" t="s">
        <v>26</v>
      </c>
      <c r="I577">
        <v>2</v>
      </c>
      <c r="J577" t="s">
        <v>48</v>
      </c>
      <c r="K577" t="s">
        <v>46</v>
      </c>
      <c r="L577" t="s">
        <v>45</v>
      </c>
      <c r="M577" t="s">
        <v>59</v>
      </c>
      <c r="N577" s="15">
        <v>29.14</v>
      </c>
      <c r="O577" s="16">
        <v>-3.2</v>
      </c>
      <c r="P577">
        <v>0</v>
      </c>
    </row>
    <row r="578" spans="1:16" x14ac:dyDescent="0.3">
      <c r="A578" t="s">
        <v>57</v>
      </c>
      <c r="B578" t="s">
        <v>22</v>
      </c>
      <c r="C578" t="s">
        <v>22</v>
      </c>
      <c r="D578" t="s">
        <v>15</v>
      </c>
      <c r="E578" t="s">
        <v>75</v>
      </c>
      <c r="F578" t="s">
        <v>9</v>
      </c>
      <c r="G578" s="15">
        <v>140</v>
      </c>
      <c r="H578" t="s">
        <v>25</v>
      </c>
      <c r="I578">
        <v>1</v>
      </c>
      <c r="J578" t="s">
        <v>48</v>
      </c>
      <c r="K578" t="s">
        <v>45</v>
      </c>
      <c r="L578" t="s">
        <v>45</v>
      </c>
      <c r="M578" t="s">
        <v>64</v>
      </c>
      <c r="N578" s="15">
        <v>120.06</v>
      </c>
      <c r="O578" s="16">
        <v>16.600000000000001</v>
      </c>
      <c r="P578">
        <v>1</v>
      </c>
    </row>
    <row r="579" spans="1:16" x14ac:dyDescent="0.3">
      <c r="A579" t="s">
        <v>65</v>
      </c>
      <c r="B579" t="s">
        <v>19</v>
      </c>
      <c r="C579" t="s">
        <v>19</v>
      </c>
      <c r="D579" t="s">
        <v>8</v>
      </c>
      <c r="E579" t="s">
        <v>74</v>
      </c>
      <c r="F579" t="s">
        <v>9</v>
      </c>
      <c r="G579" s="15">
        <v>67.64</v>
      </c>
      <c r="H579" t="s">
        <v>26</v>
      </c>
      <c r="I579">
        <v>2</v>
      </c>
      <c r="J579" t="s">
        <v>47</v>
      </c>
      <c r="K579" t="s">
        <v>46</v>
      </c>
      <c r="L579" t="s">
        <v>45</v>
      </c>
      <c r="M579" t="s">
        <v>61</v>
      </c>
      <c r="N579" s="15">
        <v>91.13</v>
      </c>
      <c r="O579" s="16">
        <v>-25.8</v>
      </c>
      <c r="P579">
        <v>0</v>
      </c>
    </row>
    <row r="580" spans="1:16" x14ac:dyDescent="0.3">
      <c r="A580" t="s">
        <v>60</v>
      </c>
      <c r="B580" t="s">
        <v>19</v>
      </c>
      <c r="C580" t="s">
        <v>19</v>
      </c>
      <c r="D580" t="s">
        <v>11</v>
      </c>
      <c r="E580" t="s">
        <v>70</v>
      </c>
      <c r="F580" t="s">
        <v>9</v>
      </c>
      <c r="G580" s="15">
        <v>33.28</v>
      </c>
      <c r="H580" t="s">
        <v>26</v>
      </c>
      <c r="I580">
        <v>2</v>
      </c>
      <c r="J580" t="s">
        <v>48</v>
      </c>
      <c r="K580" t="s">
        <v>45</v>
      </c>
      <c r="L580" t="s">
        <v>45</v>
      </c>
      <c r="M580" t="s">
        <v>67</v>
      </c>
      <c r="N580" s="15">
        <v>31.4</v>
      </c>
      <c r="O580" s="16">
        <v>6</v>
      </c>
      <c r="P580">
        <v>0</v>
      </c>
    </row>
    <row r="581" spans="1:16" x14ac:dyDescent="0.3">
      <c r="A581" t="s">
        <v>65</v>
      </c>
      <c r="B581" t="s">
        <v>21</v>
      </c>
      <c r="C581" t="s">
        <v>62</v>
      </c>
      <c r="D581" t="s">
        <v>12</v>
      </c>
      <c r="E581" t="s">
        <v>66</v>
      </c>
      <c r="F581" t="s">
        <v>13</v>
      </c>
      <c r="G581" s="15">
        <v>148.21</v>
      </c>
      <c r="H581" t="s">
        <v>27</v>
      </c>
      <c r="I581">
        <v>3</v>
      </c>
      <c r="J581" t="s">
        <v>48</v>
      </c>
      <c r="K581" t="s">
        <v>45</v>
      </c>
      <c r="L581" t="s">
        <v>45</v>
      </c>
      <c r="M581" t="s">
        <v>59</v>
      </c>
      <c r="N581" s="15">
        <v>178.49</v>
      </c>
      <c r="O581" s="16">
        <v>-17</v>
      </c>
      <c r="P581">
        <v>0</v>
      </c>
    </row>
    <row r="582" spans="1:16" x14ac:dyDescent="0.3">
      <c r="A582" t="s">
        <v>65</v>
      </c>
      <c r="B582" t="s">
        <v>21</v>
      </c>
      <c r="C582" t="s">
        <v>62</v>
      </c>
      <c r="D582" t="s">
        <v>8</v>
      </c>
      <c r="E582" t="s">
        <v>74</v>
      </c>
      <c r="F582" t="s">
        <v>9</v>
      </c>
      <c r="G582" s="15">
        <v>92.04</v>
      </c>
      <c r="H582" t="s">
        <v>25</v>
      </c>
      <c r="I582">
        <v>1</v>
      </c>
      <c r="J582" t="s">
        <v>44</v>
      </c>
      <c r="K582" t="s">
        <v>46</v>
      </c>
      <c r="L582" t="s">
        <v>45</v>
      </c>
      <c r="M582" t="s">
        <v>72</v>
      </c>
      <c r="N582" s="15">
        <v>91.13</v>
      </c>
      <c r="O582" s="16">
        <v>1</v>
      </c>
      <c r="P582">
        <v>0</v>
      </c>
    </row>
    <row r="583" spans="1:16" x14ac:dyDescent="0.3">
      <c r="A583" t="s">
        <v>60</v>
      </c>
      <c r="B583" t="s">
        <v>20</v>
      </c>
      <c r="C583" t="s">
        <v>20</v>
      </c>
      <c r="D583" t="s">
        <v>10</v>
      </c>
      <c r="E583" t="s">
        <v>69</v>
      </c>
      <c r="F583" t="s">
        <v>9</v>
      </c>
      <c r="G583" s="15">
        <v>156.5</v>
      </c>
      <c r="H583" t="s">
        <v>26</v>
      </c>
      <c r="I583">
        <v>2</v>
      </c>
      <c r="J583" t="s">
        <v>48</v>
      </c>
      <c r="K583" t="s">
        <v>46</v>
      </c>
      <c r="L583" t="s">
        <v>45</v>
      </c>
      <c r="M583" t="s">
        <v>67</v>
      </c>
      <c r="N583" s="15">
        <v>158.6</v>
      </c>
      <c r="O583" s="16">
        <v>-1.3</v>
      </c>
      <c r="P583">
        <v>0</v>
      </c>
    </row>
    <row r="584" spans="1:16" x14ac:dyDescent="0.3">
      <c r="A584" t="s">
        <v>65</v>
      </c>
      <c r="B584" t="s">
        <v>19</v>
      </c>
      <c r="C584" t="s">
        <v>19</v>
      </c>
      <c r="D584" t="s">
        <v>11</v>
      </c>
      <c r="E584" t="s">
        <v>79</v>
      </c>
      <c r="F584" t="s">
        <v>9</v>
      </c>
      <c r="G584" s="15">
        <v>39.729999999999997</v>
      </c>
      <c r="H584" t="s">
        <v>25</v>
      </c>
      <c r="I584">
        <v>1</v>
      </c>
      <c r="J584" t="s">
        <v>44</v>
      </c>
      <c r="K584" t="s">
        <v>45</v>
      </c>
      <c r="L584" t="s">
        <v>45</v>
      </c>
      <c r="M584" t="s">
        <v>72</v>
      </c>
      <c r="N584" s="15">
        <v>33.39</v>
      </c>
      <c r="O584" s="16">
        <v>19</v>
      </c>
      <c r="P584">
        <v>1</v>
      </c>
    </row>
    <row r="585" spans="1:16" x14ac:dyDescent="0.3">
      <c r="A585" t="s">
        <v>60</v>
      </c>
      <c r="B585" t="s">
        <v>19</v>
      </c>
      <c r="C585" t="s">
        <v>19</v>
      </c>
      <c r="D585" t="s">
        <v>12</v>
      </c>
      <c r="E585" t="s">
        <v>66</v>
      </c>
      <c r="F585" t="s">
        <v>13</v>
      </c>
      <c r="G585" s="15">
        <v>171.37</v>
      </c>
      <c r="H585" t="s">
        <v>26</v>
      </c>
      <c r="I585">
        <v>2</v>
      </c>
      <c r="J585" t="s">
        <v>47</v>
      </c>
      <c r="K585" t="s">
        <v>45</v>
      </c>
      <c r="L585" t="s">
        <v>45</v>
      </c>
      <c r="M585" t="s">
        <v>59</v>
      </c>
      <c r="N585" s="15">
        <v>168.34</v>
      </c>
      <c r="O585" s="16">
        <v>1.8</v>
      </c>
      <c r="P585">
        <v>0</v>
      </c>
    </row>
    <row r="586" spans="1:16" x14ac:dyDescent="0.3">
      <c r="A586" t="s">
        <v>65</v>
      </c>
      <c r="B586" t="s">
        <v>22</v>
      </c>
      <c r="C586" t="s">
        <v>22</v>
      </c>
      <c r="D586" t="s">
        <v>14</v>
      </c>
      <c r="E586" t="s">
        <v>63</v>
      </c>
      <c r="F586" t="s">
        <v>9</v>
      </c>
      <c r="G586" s="15">
        <v>77.7</v>
      </c>
      <c r="H586" t="s">
        <v>25</v>
      </c>
      <c r="I586">
        <v>1</v>
      </c>
      <c r="J586" t="s">
        <v>48</v>
      </c>
      <c r="K586" t="s">
        <v>45</v>
      </c>
      <c r="L586" t="s">
        <v>46</v>
      </c>
      <c r="M586" t="s">
        <v>78</v>
      </c>
      <c r="N586" s="15">
        <v>68.150000000000006</v>
      </c>
      <c r="O586" s="16">
        <v>14</v>
      </c>
      <c r="P586">
        <v>0</v>
      </c>
    </row>
    <row r="587" spans="1:16" x14ac:dyDescent="0.3">
      <c r="A587" t="s">
        <v>65</v>
      </c>
      <c r="B587" t="s">
        <v>22</v>
      </c>
      <c r="C587" t="s">
        <v>22</v>
      </c>
      <c r="D587" t="s">
        <v>14</v>
      </c>
      <c r="E587" t="s">
        <v>63</v>
      </c>
      <c r="F587" t="s">
        <v>9</v>
      </c>
      <c r="G587" s="15">
        <v>70.930000000000007</v>
      </c>
      <c r="H587" t="s">
        <v>25</v>
      </c>
      <c r="I587">
        <v>1</v>
      </c>
      <c r="J587" t="s">
        <v>48</v>
      </c>
      <c r="K587" t="s">
        <v>45</v>
      </c>
      <c r="L587" t="s">
        <v>45</v>
      </c>
      <c r="M587" t="s">
        <v>59</v>
      </c>
      <c r="N587" s="15">
        <v>68.150000000000006</v>
      </c>
      <c r="O587" s="16">
        <v>4.0999999999999996</v>
      </c>
      <c r="P587">
        <v>0</v>
      </c>
    </row>
    <row r="588" spans="1:16" x14ac:dyDescent="0.3">
      <c r="A588" t="s">
        <v>57</v>
      </c>
      <c r="B588" t="s">
        <v>21</v>
      </c>
      <c r="C588" t="s">
        <v>62</v>
      </c>
      <c r="D588" t="s">
        <v>14</v>
      </c>
      <c r="E588" t="s">
        <v>77</v>
      </c>
      <c r="F588" t="s">
        <v>9</v>
      </c>
      <c r="G588" s="15">
        <v>67.819999999999993</v>
      </c>
      <c r="H588" t="s">
        <v>25</v>
      </c>
      <c r="I588">
        <v>1</v>
      </c>
      <c r="J588" t="s">
        <v>48</v>
      </c>
      <c r="K588" t="s">
        <v>45</v>
      </c>
      <c r="L588" t="s">
        <v>45</v>
      </c>
      <c r="M588" t="s">
        <v>72</v>
      </c>
      <c r="N588" s="15">
        <v>65.97</v>
      </c>
      <c r="O588" s="16">
        <v>2.8</v>
      </c>
      <c r="P588">
        <v>0</v>
      </c>
    </row>
    <row r="589" spans="1:16" x14ac:dyDescent="0.3">
      <c r="A589" t="s">
        <v>57</v>
      </c>
      <c r="B589" t="s">
        <v>20</v>
      </c>
      <c r="C589" t="s">
        <v>20</v>
      </c>
      <c r="D589" t="s">
        <v>10</v>
      </c>
      <c r="E589" t="s">
        <v>69</v>
      </c>
      <c r="F589" t="s">
        <v>9</v>
      </c>
      <c r="G589" s="15">
        <v>143.71</v>
      </c>
      <c r="H589" t="s">
        <v>26</v>
      </c>
      <c r="I589">
        <v>2</v>
      </c>
      <c r="J589" t="s">
        <v>47</v>
      </c>
      <c r="K589" t="s">
        <v>45</v>
      </c>
      <c r="L589" t="s">
        <v>45</v>
      </c>
      <c r="M589" t="s">
        <v>78</v>
      </c>
      <c r="N589" s="15">
        <v>150.38999999999999</v>
      </c>
      <c r="O589" s="16">
        <v>-4.4000000000000004</v>
      </c>
      <c r="P589">
        <v>0</v>
      </c>
    </row>
    <row r="590" spans="1:16" x14ac:dyDescent="0.3">
      <c r="A590" t="s">
        <v>65</v>
      </c>
      <c r="B590" t="s">
        <v>19</v>
      </c>
      <c r="C590" t="s">
        <v>19</v>
      </c>
      <c r="D590" t="s">
        <v>11</v>
      </c>
      <c r="E590" t="s">
        <v>79</v>
      </c>
      <c r="F590" t="s">
        <v>9</v>
      </c>
      <c r="G590" s="15">
        <v>32.92</v>
      </c>
      <c r="H590" t="s">
        <v>26</v>
      </c>
      <c r="I590">
        <v>2</v>
      </c>
      <c r="J590" t="s">
        <v>47</v>
      </c>
      <c r="K590" t="s">
        <v>45</v>
      </c>
      <c r="L590" t="s">
        <v>46</v>
      </c>
      <c r="M590" t="s">
        <v>68</v>
      </c>
      <c r="N590" s="15">
        <v>33.39</v>
      </c>
      <c r="O590" s="16">
        <v>-1.4</v>
      </c>
      <c r="P590">
        <v>0</v>
      </c>
    </row>
    <row r="591" spans="1:16" x14ac:dyDescent="0.3">
      <c r="A591" t="s">
        <v>57</v>
      </c>
      <c r="B591" t="s">
        <v>19</v>
      </c>
      <c r="C591" t="s">
        <v>19</v>
      </c>
      <c r="D591" t="s">
        <v>10</v>
      </c>
      <c r="E591" t="s">
        <v>58</v>
      </c>
      <c r="F591" t="s">
        <v>9</v>
      </c>
      <c r="G591" s="15">
        <v>122.35</v>
      </c>
      <c r="H591" t="s">
        <v>27</v>
      </c>
      <c r="I591">
        <v>3</v>
      </c>
      <c r="J591" t="s">
        <v>48</v>
      </c>
      <c r="K591" t="s">
        <v>46</v>
      </c>
      <c r="L591" t="s">
        <v>45</v>
      </c>
      <c r="M591" t="s">
        <v>61</v>
      </c>
      <c r="N591" s="15">
        <v>151.19</v>
      </c>
      <c r="O591" s="16">
        <v>-19.100000000000001</v>
      </c>
      <c r="P591">
        <v>0</v>
      </c>
    </row>
    <row r="592" spans="1:16" x14ac:dyDescent="0.3">
      <c r="A592" t="s">
        <v>60</v>
      </c>
      <c r="B592" t="s">
        <v>21</v>
      </c>
      <c r="C592" t="s">
        <v>62</v>
      </c>
      <c r="D592" t="s">
        <v>14</v>
      </c>
      <c r="E592" t="s">
        <v>77</v>
      </c>
      <c r="F592" t="s">
        <v>9</v>
      </c>
      <c r="G592" s="15">
        <v>68.63</v>
      </c>
      <c r="H592" t="s">
        <v>26</v>
      </c>
      <c r="I592">
        <v>2</v>
      </c>
      <c r="J592" t="s">
        <v>48</v>
      </c>
      <c r="K592" t="s">
        <v>46</v>
      </c>
      <c r="L592" t="s">
        <v>45</v>
      </c>
      <c r="M592" t="s">
        <v>68</v>
      </c>
      <c r="N592" s="15">
        <v>67.13</v>
      </c>
      <c r="O592" s="16">
        <v>2.2000000000000002</v>
      </c>
      <c r="P592">
        <v>0</v>
      </c>
    </row>
    <row r="593" spans="1:16" x14ac:dyDescent="0.3">
      <c r="A593" t="s">
        <v>57</v>
      </c>
      <c r="B593" t="s">
        <v>22</v>
      </c>
      <c r="C593" t="s">
        <v>22</v>
      </c>
      <c r="D593" t="s">
        <v>11</v>
      </c>
      <c r="E593" t="s">
        <v>70</v>
      </c>
      <c r="F593" t="s">
        <v>9</v>
      </c>
      <c r="G593" s="15">
        <v>35</v>
      </c>
      <c r="H593" t="s">
        <v>25</v>
      </c>
      <c r="I593">
        <v>1</v>
      </c>
      <c r="J593" t="s">
        <v>48</v>
      </c>
      <c r="K593" t="s">
        <v>45</v>
      </c>
      <c r="L593" t="s">
        <v>45</v>
      </c>
      <c r="M593" t="s">
        <v>78</v>
      </c>
      <c r="N593" s="15">
        <v>30.5</v>
      </c>
      <c r="O593" s="16">
        <v>14.8</v>
      </c>
      <c r="P593">
        <v>0</v>
      </c>
    </row>
    <row r="594" spans="1:16" x14ac:dyDescent="0.3">
      <c r="A594" t="s">
        <v>60</v>
      </c>
      <c r="B594" t="s">
        <v>21</v>
      </c>
      <c r="C594" t="s">
        <v>62</v>
      </c>
      <c r="D594" t="s">
        <v>8</v>
      </c>
      <c r="E594" t="s">
        <v>73</v>
      </c>
      <c r="F594" t="s">
        <v>9</v>
      </c>
      <c r="G594" s="15">
        <v>73.39</v>
      </c>
      <c r="H594" t="s">
        <v>26</v>
      </c>
      <c r="I594">
        <v>2</v>
      </c>
      <c r="J594" t="s">
        <v>47</v>
      </c>
      <c r="K594" t="s">
        <v>45</v>
      </c>
      <c r="L594" t="s">
        <v>45</v>
      </c>
      <c r="M594" t="s">
        <v>78</v>
      </c>
      <c r="N594" s="15">
        <v>82.04</v>
      </c>
      <c r="O594" s="16">
        <v>-10.5</v>
      </c>
      <c r="P594">
        <v>0</v>
      </c>
    </row>
    <row r="595" spans="1:16" x14ac:dyDescent="0.3">
      <c r="A595" t="s">
        <v>57</v>
      </c>
      <c r="B595" t="s">
        <v>22</v>
      </c>
      <c r="C595" t="s">
        <v>22</v>
      </c>
      <c r="D595" t="s">
        <v>15</v>
      </c>
      <c r="E595" t="s">
        <v>75</v>
      </c>
      <c r="F595" t="s">
        <v>9</v>
      </c>
      <c r="G595" s="15">
        <v>121.13</v>
      </c>
      <c r="H595" t="s">
        <v>27</v>
      </c>
      <c r="I595">
        <v>3</v>
      </c>
      <c r="J595" t="s">
        <v>47</v>
      </c>
      <c r="K595" t="s">
        <v>46</v>
      </c>
      <c r="L595" t="s">
        <v>45</v>
      </c>
      <c r="M595" t="s">
        <v>61</v>
      </c>
      <c r="N595" s="15">
        <v>120.06</v>
      </c>
      <c r="O595" s="16">
        <v>0.9</v>
      </c>
      <c r="P595">
        <v>0</v>
      </c>
    </row>
    <row r="596" spans="1:16" x14ac:dyDescent="0.3">
      <c r="A596" t="s">
        <v>65</v>
      </c>
      <c r="B596" t="s">
        <v>20</v>
      </c>
      <c r="C596" t="s">
        <v>20</v>
      </c>
      <c r="D596" t="s">
        <v>15</v>
      </c>
      <c r="E596" t="s">
        <v>76</v>
      </c>
      <c r="F596" t="s">
        <v>9</v>
      </c>
      <c r="G596" s="15">
        <v>125.46</v>
      </c>
      <c r="H596" t="s">
        <v>26</v>
      </c>
      <c r="I596">
        <v>2</v>
      </c>
      <c r="J596" t="s">
        <v>47</v>
      </c>
      <c r="K596" t="s">
        <v>45</v>
      </c>
      <c r="L596" t="s">
        <v>45</v>
      </c>
      <c r="M596" t="s">
        <v>64</v>
      </c>
      <c r="N596" s="15">
        <v>126.51</v>
      </c>
      <c r="O596" s="16">
        <v>-0.8</v>
      </c>
      <c r="P596">
        <v>0</v>
      </c>
    </row>
    <row r="597" spans="1:16" x14ac:dyDescent="0.3">
      <c r="A597" t="s">
        <v>57</v>
      </c>
      <c r="B597" t="s">
        <v>17</v>
      </c>
      <c r="C597" t="s">
        <v>17</v>
      </c>
      <c r="D597" t="s">
        <v>12</v>
      </c>
      <c r="E597" t="s">
        <v>66</v>
      </c>
      <c r="F597" t="s">
        <v>13</v>
      </c>
      <c r="G597" s="15">
        <v>167.11</v>
      </c>
      <c r="H597" t="s">
        <v>27</v>
      </c>
      <c r="I597">
        <v>3</v>
      </c>
      <c r="J597" t="s">
        <v>47</v>
      </c>
      <c r="K597" t="s">
        <v>45</v>
      </c>
      <c r="L597" t="s">
        <v>45</v>
      </c>
      <c r="M597" t="s">
        <v>59</v>
      </c>
      <c r="N597" s="15">
        <v>170.56</v>
      </c>
      <c r="O597" s="16">
        <v>-2</v>
      </c>
      <c r="P597">
        <v>0</v>
      </c>
    </row>
    <row r="598" spans="1:16" x14ac:dyDescent="0.3">
      <c r="A598" t="s">
        <v>65</v>
      </c>
      <c r="B598" t="s">
        <v>18</v>
      </c>
      <c r="C598" t="s">
        <v>18</v>
      </c>
      <c r="D598" t="s">
        <v>11</v>
      </c>
      <c r="E598" t="s">
        <v>70</v>
      </c>
      <c r="F598" t="s">
        <v>9</v>
      </c>
      <c r="G598" s="15">
        <v>34.82</v>
      </c>
      <c r="H598" t="s">
        <v>27</v>
      </c>
      <c r="I598">
        <v>3</v>
      </c>
      <c r="J598" t="s">
        <v>48</v>
      </c>
      <c r="K598" t="s">
        <v>45</v>
      </c>
      <c r="L598" t="s">
        <v>45</v>
      </c>
      <c r="M598" t="s">
        <v>72</v>
      </c>
      <c r="N598" s="15">
        <v>32.630000000000003</v>
      </c>
      <c r="O598" s="16">
        <v>6.7</v>
      </c>
      <c r="P598">
        <v>0</v>
      </c>
    </row>
    <row r="599" spans="1:16" x14ac:dyDescent="0.3">
      <c r="A599" t="s">
        <v>65</v>
      </c>
      <c r="B599" t="s">
        <v>17</v>
      </c>
      <c r="C599" t="s">
        <v>17</v>
      </c>
      <c r="D599" t="s">
        <v>14</v>
      </c>
      <c r="E599" t="s">
        <v>63</v>
      </c>
      <c r="F599" t="s">
        <v>9</v>
      </c>
      <c r="G599" s="15">
        <v>75.02</v>
      </c>
      <c r="H599" t="s">
        <v>25</v>
      </c>
      <c r="I599">
        <v>1</v>
      </c>
      <c r="J599" t="s">
        <v>47</v>
      </c>
      <c r="K599" t="s">
        <v>45</v>
      </c>
      <c r="L599" t="s">
        <v>45</v>
      </c>
      <c r="M599" t="s">
        <v>59</v>
      </c>
      <c r="N599" s="15">
        <v>68.150000000000006</v>
      </c>
      <c r="O599" s="16">
        <v>10.1</v>
      </c>
      <c r="P599">
        <v>0</v>
      </c>
    </row>
    <row r="600" spans="1:16" x14ac:dyDescent="0.3">
      <c r="A600" t="s">
        <v>65</v>
      </c>
      <c r="B600" t="s">
        <v>22</v>
      </c>
      <c r="C600" t="s">
        <v>22</v>
      </c>
      <c r="D600" t="s">
        <v>12</v>
      </c>
      <c r="E600" t="s">
        <v>80</v>
      </c>
      <c r="F600" t="s">
        <v>13</v>
      </c>
      <c r="G600" s="15">
        <v>200</v>
      </c>
      <c r="H600" t="s">
        <v>25</v>
      </c>
      <c r="I600">
        <v>1</v>
      </c>
      <c r="J600" t="s">
        <v>47</v>
      </c>
      <c r="K600" t="s">
        <v>45</v>
      </c>
      <c r="L600" t="s">
        <v>45</v>
      </c>
      <c r="M600" t="s">
        <v>64</v>
      </c>
      <c r="N600" s="15">
        <v>176.57</v>
      </c>
      <c r="O600" s="16">
        <v>13.3</v>
      </c>
      <c r="P600">
        <v>0</v>
      </c>
    </row>
    <row r="601" spans="1:16" x14ac:dyDescent="0.3">
      <c r="A601" t="s">
        <v>57</v>
      </c>
      <c r="B601" t="s">
        <v>21</v>
      </c>
      <c r="C601" t="s">
        <v>62</v>
      </c>
      <c r="D601" t="s">
        <v>10</v>
      </c>
      <c r="E601" t="s">
        <v>69</v>
      </c>
      <c r="F601" t="s">
        <v>9</v>
      </c>
      <c r="G601" s="15">
        <v>170.81</v>
      </c>
      <c r="H601" t="s">
        <v>25</v>
      </c>
      <c r="I601">
        <v>1</v>
      </c>
      <c r="J601" t="s">
        <v>48</v>
      </c>
      <c r="K601" t="s">
        <v>46</v>
      </c>
      <c r="L601" t="s">
        <v>45</v>
      </c>
      <c r="M601" t="s">
        <v>61</v>
      </c>
      <c r="N601" s="15">
        <v>150.38999999999999</v>
      </c>
      <c r="O601" s="16">
        <v>13.6</v>
      </c>
      <c r="P601">
        <v>0</v>
      </c>
    </row>
    <row r="602" spans="1:16" x14ac:dyDescent="0.3">
      <c r="A602" t="s">
        <v>57</v>
      </c>
      <c r="B602" t="s">
        <v>18</v>
      </c>
      <c r="C602" t="s">
        <v>18</v>
      </c>
      <c r="D602" t="s">
        <v>8</v>
      </c>
      <c r="E602" t="s">
        <v>73</v>
      </c>
      <c r="F602" t="s">
        <v>9</v>
      </c>
      <c r="G602" s="15">
        <v>57.35</v>
      </c>
      <c r="H602" t="s">
        <v>27</v>
      </c>
      <c r="I602">
        <v>3</v>
      </c>
      <c r="J602" t="s">
        <v>48</v>
      </c>
      <c r="K602" t="s">
        <v>46</v>
      </c>
      <c r="L602" t="s">
        <v>45</v>
      </c>
      <c r="M602" t="s">
        <v>72</v>
      </c>
      <c r="N602" s="15">
        <v>86.06</v>
      </c>
      <c r="O602" s="16">
        <v>-33.4</v>
      </c>
      <c r="P602">
        <v>0</v>
      </c>
    </row>
    <row r="603" spans="1:16" x14ac:dyDescent="0.3">
      <c r="A603" t="s">
        <v>57</v>
      </c>
      <c r="B603" t="s">
        <v>22</v>
      </c>
      <c r="C603" t="s">
        <v>22</v>
      </c>
      <c r="D603" t="s">
        <v>11</v>
      </c>
      <c r="E603" t="s">
        <v>79</v>
      </c>
      <c r="F603" t="s">
        <v>9</v>
      </c>
      <c r="G603" s="15">
        <v>34.369999999999997</v>
      </c>
      <c r="H603" t="s">
        <v>25</v>
      </c>
      <c r="I603">
        <v>1</v>
      </c>
      <c r="J603" t="s">
        <v>47</v>
      </c>
      <c r="K603" t="s">
        <v>45</v>
      </c>
      <c r="L603" t="s">
        <v>45</v>
      </c>
      <c r="M603" t="s">
        <v>59</v>
      </c>
      <c r="N603" s="15">
        <v>30.93</v>
      </c>
      <c r="O603" s="16">
        <v>11.1</v>
      </c>
      <c r="P603">
        <v>0</v>
      </c>
    </row>
    <row r="604" spans="1:16" x14ac:dyDescent="0.3">
      <c r="A604" t="s">
        <v>57</v>
      </c>
      <c r="B604" t="s">
        <v>20</v>
      </c>
      <c r="C604" t="s">
        <v>20</v>
      </c>
      <c r="D604" t="s">
        <v>11</v>
      </c>
      <c r="E604" t="s">
        <v>79</v>
      </c>
      <c r="F604" t="s">
        <v>9</v>
      </c>
      <c r="G604" s="15">
        <v>27.52</v>
      </c>
      <c r="H604" t="s">
        <v>26</v>
      </c>
      <c r="I604">
        <v>2</v>
      </c>
      <c r="J604" t="s">
        <v>48</v>
      </c>
      <c r="K604" t="s">
        <v>45</v>
      </c>
      <c r="L604" t="s">
        <v>45</v>
      </c>
      <c r="M604" t="s">
        <v>59</v>
      </c>
      <c r="N604" s="15">
        <v>30.93</v>
      </c>
      <c r="O604" s="16">
        <v>-11</v>
      </c>
      <c r="P604">
        <v>0</v>
      </c>
    </row>
    <row r="605" spans="1:16" x14ac:dyDescent="0.3">
      <c r="A605" t="s">
        <v>57</v>
      </c>
      <c r="B605" t="s">
        <v>19</v>
      </c>
      <c r="C605" t="s">
        <v>19</v>
      </c>
      <c r="D605" t="s">
        <v>15</v>
      </c>
      <c r="E605" t="s">
        <v>75</v>
      </c>
      <c r="F605" t="s">
        <v>9</v>
      </c>
      <c r="G605" s="15">
        <v>132.63999999999999</v>
      </c>
      <c r="H605" t="s">
        <v>26</v>
      </c>
      <c r="I605">
        <v>2</v>
      </c>
      <c r="J605" t="s">
        <v>48</v>
      </c>
      <c r="K605" t="s">
        <v>45</v>
      </c>
      <c r="L605" t="s">
        <v>45</v>
      </c>
      <c r="M605" t="s">
        <v>67</v>
      </c>
      <c r="N605" s="15">
        <v>120.06</v>
      </c>
      <c r="O605" s="16">
        <v>10.5</v>
      </c>
      <c r="P605">
        <v>0</v>
      </c>
    </row>
    <row r="606" spans="1:16" x14ac:dyDescent="0.3">
      <c r="A606" t="s">
        <v>65</v>
      </c>
      <c r="B606" t="s">
        <v>17</v>
      </c>
      <c r="C606" t="s">
        <v>17</v>
      </c>
      <c r="D606" t="s">
        <v>15</v>
      </c>
      <c r="E606" t="s">
        <v>76</v>
      </c>
      <c r="F606" t="s">
        <v>9</v>
      </c>
      <c r="G606" s="15">
        <v>115.11</v>
      </c>
      <c r="H606" t="s">
        <v>26</v>
      </c>
      <c r="I606">
        <v>2</v>
      </c>
      <c r="J606" t="s">
        <v>48</v>
      </c>
      <c r="K606" t="s">
        <v>46</v>
      </c>
      <c r="L606" t="s">
        <v>46</v>
      </c>
      <c r="M606" t="s">
        <v>67</v>
      </c>
      <c r="N606" s="15">
        <v>126.51</v>
      </c>
      <c r="O606" s="16">
        <v>-9</v>
      </c>
      <c r="P606">
        <v>0</v>
      </c>
    </row>
    <row r="607" spans="1:16" x14ac:dyDescent="0.3">
      <c r="A607" t="s">
        <v>65</v>
      </c>
      <c r="B607" t="s">
        <v>19</v>
      </c>
      <c r="C607" t="s">
        <v>19</v>
      </c>
      <c r="D607" t="s">
        <v>14</v>
      </c>
      <c r="E607" t="s">
        <v>63</v>
      </c>
      <c r="F607" t="s">
        <v>9</v>
      </c>
      <c r="G607" s="15">
        <v>61.41</v>
      </c>
      <c r="H607" t="s">
        <v>26</v>
      </c>
      <c r="I607">
        <v>2</v>
      </c>
      <c r="J607" t="s">
        <v>48</v>
      </c>
      <c r="K607" t="s">
        <v>46</v>
      </c>
      <c r="L607" t="s">
        <v>45</v>
      </c>
      <c r="M607" t="s">
        <v>67</v>
      </c>
      <c r="N607" s="15">
        <v>68.150000000000006</v>
      </c>
      <c r="O607" s="16">
        <v>-9.9</v>
      </c>
      <c r="P607">
        <v>0</v>
      </c>
    </row>
    <row r="608" spans="1:16" x14ac:dyDescent="0.3">
      <c r="A608" t="s">
        <v>65</v>
      </c>
      <c r="B608" t="s">
        <v>22</v>
      </c>
      <c r="C608" t="s">
        <v>22</v>
      </c>
      <c r="D608" t="s">
        <v>10</v>
      </c>
      <c r="E608" t="s">
        <v>69</v>
      </c>
      <c r="F608" t="s">
        <v>9</v>
      </c>
      <c r="G608" s="15">
        <v>167.87</v>
      </c>
      <c r="H608" t="s">
        <v>26</v>
      </c>
      <c r="I608">
        <v>2</v>
      </c>
      <c r="J608" t="s">
        <v>48</v>
      </c>
      <c r="K608" t="s">
        <v>45</v>
      </c>
      <c r="L608" t="s">
        <v>45</v>
      </c>
      <c r="M608" t="s">
        <v>59</v>
      </c>
      <c r="N608" s="15">
        <v>158.91999999999999</v>
      </c>
      <c r="O608" s="16">
        <v>5.6</v>
      </c>
      <c r="P608">
        <v>0</v>
      </c>
    </row>
    <row r="609" spans="1:16" x14ac:dyDescent="0.3">
      <c r="A609" t="s">
        <v>57</v>
      </c>
      <c r="B609" t="s">
        <v>22</v>
      </c>
      <c r="C609" t="s">
        <v>22</v>
      </c>
      <c r="D609" t="s">
        <v>15</v>
      </c>
      <c r="E609" t="s">
        <v>75</v>
      </c>
      <c r="F609" t="s">
        <v>9</v>
      </c>
      <c r="G609" s="15">
        <v>140</v>
      </c>
      <c r="H609" t="s">
        <v>25</v>
      </c>
      <c r="I609">
        <v>1</v>
      </c>
      <c r="J609" t="s">
        <v>48</v>
      </c>
      <c r="K609" t="s">
        <v>45</v>
      </c>
      <c r="L609" t="s">
        <v>46</v>
      </c>
      <c r="M609" t="s">
        <v>68</v>
      </c>
      <c r="N609" s="15">
        <v>120.06</v>
      </c>
      <c r="O609" s="16">
        <v>16.600000000000001</v>
      </c>
      <c r="P609">
        <v>1</v>
      </c>
    </row>
    <row r="610" spans="1:16" x14ac:dyDescent="0.3">
      <c r="A610" t="s">
        <v>65</v>
      </c>
      <c r="B610" t="s">
        <v>20</v>
      </c>
      <c r="C610" t="s">
        <v>20</v>
      </c>
      <c r="D610" t="s">
        <v>10</v>
      </c>
      <c r="E610" t="s">
        <v>69</v>
      </c>
      <c r="F610" t="s">
        <v>9</v>
      </c>
      <c r="G610" s="15">
        <v>154.1</v>
      </c>
      <c r="H610" t="s">
        <v>27</v>
      </c>
      <c r="I610">
        <v>3</v>
      </c>
      <c r="J610" t="s">
        <v>48</v>
      </c>
      <c r="K610" t="s">
        <v>45</v>
      </c>
      <c r="L610" t="s">
        <v>46</v>
      </c>
      <c r="M610" t="s">
        <v>59</v>
      </c>
      <c r="N610" s="15">
        <v>158.91999999999999</v>
      </c>
      <c r="O610" s="16">
        <v>-3</v>
      </c>
      <c r="P610">
        <v>0</v>
      </c>
    </row>
    <row r="611" spans="1:16" x14ac:dyDescent="0.3">
      <c r="A611" t="s">
        <v>65</v>
      </c>
      <c r="B611" t="s">
        <v>17</v>
      </c>
      <c r="C611" t="s">
        <v>17</v>
      </c>
      <c r="D611" t="s">
        <v>14</v>
      </c>
      <c r="E611" t="s">
        <v>71</v>
      </c>
      <c r="F611" t="s">
        <v>9</v>
      </c>
      <c r="G611" s="15">
        <v>56.23</v>
      </c>
      <c r="H611" t="s">
        <v>26</v>
      </c>
      <c r="I611">
        <v>2</v>
      </c>
      <c r="J611" t="s">
        <v>48</v>
      </c>
      <c r="K611" t="s">
        <v>46</v>
      </c>
      <c r="L611" t="s">
        <v>45</v>
      </c>
      <c r="M611" t="s">
        <v>67</v>
      </c>
      <c r="N611" s="15">
        <v>71.77</v>
      </c>
      <c r="O611" s="16">
        <v>-21.7</v>
      </c>
      <c r="P611">
        <v>0</v>
      </c>
    </row>
    <row r="612" spans="1:16" x14ac:dyDescent="0.3">
      <c r="A612" t="s">
        <v>57</v>
      </c>
      <c r="B612" t="s">
        <v>21</v>
      </c>
      <c r="C612" t="s">
        <v>62</v>
      </c>
      <c r="D612" t="s">
        <v>15</v>
      </c>
      <c r="E612" t="s">
        <v>76</v>
      </c>
      <c r="F612" t="s">
        <v>9</v>
      </c>
      <c r="G612" s="15">
        <v>122.08</v>
      </c>
      <c r="H612" t="s">
        <v>27</v>
      </c>
      <c r="I612">
        <v>3</v>
      </c>
      <c r="J612" t="s">
        <v>48</v>
      </c>
      <c r="K612" t="s">
        <v>45</v>
      </c>
      <c r="L612" t="s">
        <v>45</v>
      </c>
      <c r="M612" t="s">
        <v>64</v>
      </c>
      <c r="N612" s="15">
        <v>118.59</v>
      </c>
      <c r="O612" s="16">
        <v>2.9</v>
      </c>
      <c r="P612">
        <v>0</v>
      </c>
    </row>
    <row r="613" spans="1:16" x14ac:dyDescent="0.3">
      <c r="A613" t="s">
        <v>65</v>
      </c>
      <c r="B613" t="s">
        <v>19</v>
      </c>
      <c r="C613" t="s">
        <v>19</v>
      </c>
      <c r="D613" t="s">
        <v>12</v>
      </c>
      <c r="E613" t="s">
        <v>66</v>
      </c>
      <c r="F613" t="s">
        <v>13</v>
      </c>
      <c r="G613" s="15">
        <v>188.67</v>
      </c>
      <c r="H613" t="s">
        <v>26</v>
      </c>
      <c r="I613">
        <v>2</v>
      </c>
      <c r="J613" t="s">
        <v>47</v>
      </c>
      <c r="K613" t="s">
        <v>45</v>
      </c>
      <c r="L613" t="s">
        <v>45</v>
      </c>
      <c r="M613" t="s">
        <v>78</v>
      </c>
      <c r="N613" s="15">
        <v>178.49</v>
      </c>
      <c r="O613" s="16">
        <v>5.7</v>
      </c>
      <c r="P613">
        <v>0</v>
      </c>
    </row>
    <row r="614" spans="1:16" x14ac:dyDescent="0.3">
      <c r="A614" t="s">
        <v>65</v>
      </c>
      <c r="B614" t="s">
        <v>22</v>
      </c>
      <c r="C614" t="s">
        <v>22</v>
      </c>
      <c r="D614" t="s">
        <v>14</v>
      </c>
      <c r="E614" t="s">
        <v>77</v>
      </c>
      <c r="F614" t="s">
        <v>9</v>
      </c>
      <c r="G614" s="15">
        <v>67.37</v>
      </c>
      <c r="H614" t="s">
        <v>26</v>
      </c>
      <c r="I614">
        <v>2</v>
      </c>
      <c r="J614" t="s">
        <v>48</v>
      </c>
      <c r="K614" t="s">
        <v>45</v>
      </c>
      <c r="L614" t="s">
        <v>45</v>
      </c>
      <c r="M614" t="s">
        <v>68</v>
      </c>
      <c r="N614" s="15">
        <v>70.66</v>
      </c>
      <c r="O614" s="16">
        <v>-4.7</v>
      </c>
      <c r="P614">
        <v>0</v>
      </c>
    </row>
    <row r="615" spans="1:16" x14ac:dyDescent="0.3">
      <c r="A615" t="s">
        <v>60</v>
      </c>
      <c r="B615" t="s">
        <v>20</v>
      </c>
      <c r="C615" t="s">
        <v>20</v>
      </c>
      <c r="D615" t="s">
        <v>8</v>
      </c>
      <c r="E615" t="s">
        <v>73</v>
      </c>
      <c r="F615" t="s">
        <v>9</v>
      </c>
      <c r="G615" s="15">
        <v>96.58</v>
      </c>
      <c r="H615" t="s">
        <v>27</v>
      </c>
      <c r="I615">
        <v>3</v>
      </c>
      <c r="J615" t="s">
        <v>48</v>
      </c>
      <c r="K615" t="s">
        <v>45</v>
      </c>
      <c r="L615" t="s">
        <v>45</v>
      </c>
      <c r="M615" t="s">
        <v>64</v>
      </c>
      <c r="N615" s="15">
        <v>82.04</v>
      </c>
      <c r="O615" s="16">
        <v>17.7</v>
      </c>
      <c r="P615">
        <v>1</v>
      </c>
    </row>
    <row r="616" spans="1:16" x14ac:dyDescent="0.3">
      <c r="A616" t="s">
        <v>57</v>
      </c>
      <c r="B616" t="s">
        <v>19</v>
      </c>
      <c r="C616" t="s">
        <v>19</v>
      </c>
      <c r="D616" t="s">
        <v>11</v>
      </c>
      <c r="E616" t="s">
        <v>70</v>
      </c>
      <c r="F616" t="s">
        <v>9</v>
      </c>
      <c r="G616" s="15">
        <v>29.23</v>
      </c>
      <c r="H616" t="s">
        <v>27</v>
      </c>
      <c r="I616">
        <v>3</v>
      </c>
      <c r="J616" t="s">
        <v>48</v>
      </c>
      <c r="K616" t="s">
        <v>45</v>
      </c>
      <c r="L616" t="s">
        <v>45</v>
      </c>
      <c r="M616" t="s">
        <v>68</v>
      </c>
      <c r="N616" s="15">
        <v>30.5</v>
      </c>
      <c r="O616" s="16">
        <v>-4.2</v>
      </c>
      <c r="P616">
        <v>0</v>
      </c>
    </row>
    <row r="617" spans="1:16" x14ac:dyDescent="0.3">
      <c r="A617" t="s">
        <v>57</v>
      </c>
      <c r="B617" t="s">
        <v>22</v>
      </c>
      <c r="C617" t="s">
        <v>22</v>
      </c>
      <c r="D617" t="s">
        <v>14</v>
      </c>
      <c r="E617" t="s">
        <v>71</v>
      </c>
      <c r="F617" t="s">
        <v>9</v>
      </c>
      <c r="G617" s="15">
        <v>70.319999999999993</v>
      </c>
      <c r="H617" t="s">
        <v>26</v>
      </c>
      <c r="I617">
        <v>2</v>
      </c>
      <c r="J617" t="s">
        <v>47</v>
      </c>
      <c r="K617" t="s">
        <v>45</v>
      </c>
      <c r="L617" t="s">
        <v>45</v>
      </c>
      <c r="M617" t="s">
        <v>61</v>
      </c>
      <c r="N617" s="15">
        <v>65.77</v>
      </c>
      <c r="O617" s="16">
        <v>6.9</v>
      </c>
      <c r="P617">
        <v>0</v>
      </c>
    </row>
    <row r="618" spans="1:16" x14ac:dyDescent="0.3">
      <c r="A618" t="s">
        <v>57</v>
      </c>
      <c r="B618" t="s">
        <v>17</v>
      </c>
      <c r="C618" t="s">
        <v>17</v>
      </c>
      <c r="D618" t="s">
        <v>10</v>
      </c>
      <c r="E618" t="s">
        <v>58</v>
      </c>
      <c r="F618" t="s">
        <v>9</v>
      </c>
      <c r="G618" s="15">
        <v>148.94999999999999</v>
      </c>
      <c r="H618" t="s">
        <v>26</v>
      </c>
      <c r="I618">
        <v>2</v>
      </c>
      <c r="J618" t="s">
        <v>47</v>
      </c>
      <c r="K618" t="s">
        <v>45</v>
      </c>
      <c r="L618" t="s">
        <v>45</v>
      </c>
      <c r="M618" t="s">
        <v>68</v>
      </c>
      <c r="N618" s="15">
        <v>151.19</v>
      </c>
      <c r="O618" s="16">
        <v>-1.5</v>
      </c>
      <c r="P618">
        <v>0</v>
      </c>
    </row>
    <row r="619" spans="1:16" x14ac:dyDescent="0.3">
      <c r="A619" t="s">
        <v>65</v>
      </c>
      <c r="B619" t="s">
        <v>20</v>
      </c>
      <c r="C619" t="s">
        <v>20</v>
      </c>
      <c r="D619" t="s">
        <v>14</v>
      </c>
      <c r="E619" t="s">
        <v>77</v>
      </c>
      <c r="F619" t="s">
        <v>9</v>
      </c>
      <c r="G619" s="15">
        <v>74.48</v>
      </c>
      <c r="H619" t="s">
        <v>26</v>
      </c>
      <c r="I619">
        <v>2</v>
      </c>
      <c r="J619" t="s">
        <v>48</v>
      </c>
      <c r="K619" t="s">
        <v>46</v>
      </c>
      <c r="L619" t="s">
        <v>45</v>
      </c>
      <c r="M619" t="s">
        <v>64</v>
      </c>
      <c r="N619" s="15">
        <v>70.66</v>
      </c>
      <c r="O619" s="16">
        <v>5.4</v>
      </c>
      <c r="P619">
        <v>0</v>
      </c>
    </row>
    <row r="620" spans="1:16" x14ac:dyDescent="0.3">
      <c r="A620" t="s">
        <v>65</v>
      </c>
      <c r="B620" t="s">
        <v>19</v>
      </c>
      <c r="C620" t="s">
        <v>19</v>
      </c>
      <c r="D620" t="s">
        <v>12</v>
      </c>
      <c r="E620" t="s">
        <v>80</v>
      </c>
      <c r="F620" t="s">
        <v>13</v>
      </c>
      <c r="G620" s="15">
        <v>172.65</v>
      </c>
      <c r="H620" t="s">
        <v>26</v>
      </c>
      <c r="I620">
        <v>2</v>
      </c>
      <c r="J620" t="s">
        <v>47</v>
      </c>
      <c r="K620" t="s">
        <v>46</v>
      </c>
      <c r="L620" t="s">
        <v>46</v>
      </c>
      <c r="M620" t="s">
        <v>61</v>
      </c>
      <c r="N620" s="15">
        <v>176.57</v>
      </c>
      <c r="O620" s="16">
        <v>-2.2000000000000002</v>
      </c>
      <c r="P620">
        <v>0</v>
      </c>
    </row>
    <row r="621" spans="1:16" x14ac:dyDescent="0.3">
      <c r="A621" t="s">
        <v>57</v>
      </c>
      <c r="B621" t="s">
        <v>17</v>
      </c>
      <c r="C621" t="s">
        <v>17</v>
      </c>
      <c r="D621" t="s">
        <v>10</v>
      </c>
      <c r="E621" t="s">
        <v>69</v>
      </c>
      <c r="F621" t="s">
        <v>9</v>
      </c>
      <c r="G621" s="15">
        <v>121.08</v>
      </c>
      <c r="H621" t="s">
        <v>26</v>
      </c>
      <c r="I621">
        <v>2</v>
      </c>
      <c r="J621" t="s">
        <v>48</v>
      </c>
      <c r="K621" t="s">
        <v>46</v>
      </c>
      <c r="L621" t="s">
        <v>45</v>
      </c>
      <c r="M621" t="s">
        <v>61</v>
      </c>
      <c r="N621" s="15">
        <v>150.38999999999999</v>
      </c>
      <c r="O621" s="16">
        <v>-19.5</v>
      </c>
      <c r="P621">
        <v>0</v>
      </c>
    </row>
    <row r="622" spans="1:16" x14ac:dyDescent="0.3">
      <c r="A622" t="s">
        <v>65</v>
      </c>
      <c r="B622" t="s">
        <v>21</v>
      </c>
      <c r="C622" t="s">
        <v>62</v>
      </c>
      <c r="D622" t="s">
        <v>15</v>
      </c>
      <c r="E622" t="s">
        <v>76</v>
      </c>
      <c r="F622" t="s">
        <v>9</v>
      </c>
      <c r="G622" s="15">
        <v>116.81</v>
      </c>
      <c r="H622" t="s">
        <v>26</v>
      </c>
      <c r="I622">
        <v>2</v>
      </c>
      <c r="J622" t="s">
        <v>47</v>
      </c>
      <c r="K622" t="s">
        <v>45</v>
      </c>
      <c r="L622" t="s">
        <v>45</v>
      </c>
      <c r="M622" t="s">
        <v>78</v>
      </c>
      <c r="N622" s="15">
        <v>126.51</v>
      </c>
      <c r="O622" s="16">
        <v>-7.7</v>
      </c>
      <c r="P622">
        <v>0</v>
      </c>
    </row>
    <row r="623" spans="1:16" x14ac:dyDescent="0.3">
      <c r="A623" t="s">
        <v>57</v>
      </c>
      <c r="B623" t="s">
        <v>21</v>
      </c>
      <c r="C623" t="s">
        <v>62</v>
      </c>
      <c r="D623" t="s">
        <v>10</v>
      </c>
      <c r="E623" t="s">
        <v>58</v>
      </c>
      <c r="F623" t="s">
        <v>9</v>
      </c>
      <c r="G623" s="15">
        <v>145.58000000000001</v>
      </c>
      <c r="H623" t="s">
        <v>26</v>
      </c>
      <c r="I623">
        <v>2</v>
      </c>
      <c r="J623" t="s">
        <v>47</v>
      </c>
      <c r="K623" t="s">
        <v>45</v>
      </c>
      <c r="L623" t="s">
        <v>45</v>
      </c>
      <c r="M623" t="s">
        <v>59</v>
      </c>
      <c r="N623" s="15">
        <v>151.19</v>
      </c>
      <c r="O623" s="16">
        <v>-3.7</v>
      </c>
      <c r="P623">
        <v>0</v>
      </c>
    </row>
    <row r="624" spans="1:16" x14ac:dyDescent="0.3">
      <c r="A624" t="s">
        <v>60</v>
      </c>
      <c r="B624" t="s">
        <v>21</v>
      </c>
      <c r="C624" t="s">
        <v>62</v>
      </c>
      <c r="D624" t="s">
        <v>14</v>
      </c>
      <c r="E624" t="s">
        <v>63</v>
      </c>
      <c r="F624" t="s">
        <v>9</v>
      </c>
      <c r="G624" s="15">
        <v>74.510000000000005</v>
      </c>
      <c r="H624" t="s">
        <v>25</v>
      </c>
      <c r="I624">
        <v>1</v>
      </c>
      <c r="J624" t="s">
        <v>47</v>
      </c>
      <c r="K624" t="s">
        <v>46</v>
      </c>
      <c r="L624" t="s">
        <v>45</v>
      </c>
      <c r="M624" t="s">
        <v>72</v>
      </c>
      <c r="N624" s="15">
        <v>66.680000000000007</v>
      </c>
      <c r="O624" s="16">
        <v>11.7</v>
      </c>
      <c r="P624">
        <v>0</v>
      </c>
    </row>
    <row r="625" spans="1:16" x14ac:dyDescent="0.3">
      <c r="A625" t="s">
        <v>57</v>
      </c>
      <c r="B625" t="s">
        <v>19</v>
      </c>
      <c r="C625" t="s">
        <v>19</v>
      </c>
      <c r="D625" t="s">
        <v>15</v>
      </c>
      <c r="E625" t="s">
        <v>76</v>
      </c>
      <c r="F625" t="s">
        <v>9</v>
      </c>
      <c r="G625" s="15">
        <v>130.57</v>
      </c>
      <c r="H625" t="s">
        <v>25</v>
      </c>
      <c r="I625">
        <v>1</v>
      </c>
      <c r="J625" t="s">
        <v>48</v>
      </c>
      <c r="K625" t="s">
        <v>45</v>
      </c>
      <c r="L625" t="s">
        <v>45</v>
      </c>
      <c r="M625" t="s">
        <v>61</v>
      </c>
      <c r="N625" s="15">
        <v>118.59</v>
      </c>
      <c r="O625" s="16">
        <v>10.1</v>
      </c>
      <c r="P625">
        <v>0</v>
      </c>
    </row>
    <row r="626" spans="1:16" x14ac:dyDescent="0.3">
      <c r="A626" t="s">
        <v>57</v>
      </c>
      <c r="B626" t="s">
        <v>21</v>
      </c>
      <c r="C626" t="s">
        <v>62</v>
      </c>
      <c r="D626" t="s">
        <v>12</v>
      </c>
      <c r="E626" t="s">
        <v>80</v>
      </c>
      <c r="F626" t="s">
        <v>13</v>
      </c>
      <c r="G626" s="15">
        <v>162.72999999999999</v>
      </c>
      <c r="H626" t="s">
        <v>26</v>
      </c>
      <c r="I626">
        <v>2</v>
      </c>
      <c r="J626" t="s">
        <v>48</v>
      </c>
      <c r="K626" t="s">
        <v>45</v>
      </c>
      <c r="L626" t="s">
        <v>45</v>
      </c>
      <c r="M626" t="s">
        <v>64</v>
      </c>
      <c r="N626" s="15">
        <v>162.72999999999999</v>
      </c>
      <c r="O626" s="16">
        <v>0</v>
      </c>
      <c r="P626">
        <v>0</v>
      </c>
    </row>
    <row r="627" spans="1:16" x14ac:dyDescent="0.3">
      <c r="A627" t="s">
        <v>57</v>
      </c>
      <c r="B627" t="s">
        <v>17</v>
      </c>
      <c r="C627" t="s">
        <v>17</v>
      </c>
      <c r="D627" t="s">
        <v>10</v>
      </c>
      <c r="E627" t="s">
        <v>58</v>
      </c>
      <c r="F627" t="s">
        <v>9</v>
      </c>
      <c r="G627" s="15">
        <v>179.35</v>
      </c>
      <c r="H627" t="s">
        <v>27</v>
      </c>
      <c r="I627">
        <v>3</v>
      </c>
      <c r="J627" t="s">
        <v>47</v>
      </c>
      <c r="K627" t="s">
        <v>46</v>
      </c>
      <c r="L627" t="s">
        <v>45</v>
      </c>
      <c r="M627" t="s">
        <v>68</v>
      </c>
      <c r="N627" s="15">
        <v>151.19</v>
      </c>
      <c r="O627" s="16">
        <v>18.600000000000001</v>
      </c>
      <c r="P627">
        <v>1</v>
      </c>
    </row>
    <row r="628" spans="1:16" x14ac:dyDescent="0.3">
      <c r="A628" t="s">
        <v>65</v>
      </c>
      <c r="B628" t="s">
        <v>17</v>
      </c>
      <c r="C628" t="s">
        <v>17</v>
      </c>
      <c r="D628" t="s">
        <v>14</v>
      </c>
      <c r="E628" t="s">
        <v>71</v>
      </c>
      <c r="F628" t="s">
        <v>9</v>
      </c>
      <c r="G628" s="15">
        <v>72.400000000000006</v>
      </c>
      <c r="H628" t="s">
        <v>26</v>
      </c>
      <c r="I628">
        <v>2</v>
      </c>
      <c r="J628" t="s">
        <v>48</v>
      </c>
      <c r="K628" t="s">
        <v>45</v>
      </c>
      <c r="L628" t="s">
        <v>45</v>
      </c>
      <c r="M628" t="s">
        <v>78</v>
      </c>
      <c r="N628" s="15">
        <v>71.77</v>
      </c>
      <c r="O628" s="16">
        <v>0.9</v>
      </c>
      <c r="P628">
        <v>0</v>
      </c>
    </row>
    <row r="629" spans="1:16" x14ac:dyDescent="0.3">
      <c r="A629" t="s">
        <v>60</v>
      </c>
      <c r="B629" t="s">
        <v>19</v>
      </c>
      <c r="C629" t="s">
        <v>19</v>
      </c>
      <c r="D629" t="s">
        <v>14</v>
      </c>
      <c r="E629" t="s">
        <v>63</v>
      </c>
      <c r="F629" t="s">
        <v>9</v>
      </c>
      <c r="G629" s="15">
        <v>67.94</v>
      </c>
      <c r="H629" t="s">
        <v>27</v>
      </c>
      <c r="I629">
        <v>3</v>
      </c>
      <c r="J629" t="s">
        <v>48</v>
      </c>
      <c r="K629" t="s">
        <v>45</v>
      </c>
      <c r="L629" t="s">
        <v>45</v>
      </c>
      <c r="M629" t="s">
        <v>78</v>
      </c>
      <c r="N629" s="15">
        <v>66.680000000000007</v>
      </c>
      <c r="O629" s="16">
        <v>1.9</v>
      </c>
      <c r="P629">
        <v>0</v>
      </c>
    </row>
    <row r="630" spans="1:16" x14ac:dyDescent="0.3">
      <c r="A630" t="s">
        <v>65</v>
      </c>
      <c r="B630" t="s">
        <v>19</v>
      </c>
      <c r="C630" t="s">
        <v>19</v>
      </c>
      <c r="D630" t="s">
        <v>14</v>
      </c>
      <c r="E630" t="s">
        <v>71</v>
      </c>
      <c r="F630" t="s">
        <v>9</v>
      </c>
      <c r="G630" s="15">
        <v>70.760000000000005</v>
      </c>
      <c r="H630" t="s">
        <v>26</v>
      </c>
      <c r="I630">
        <v>2</v>
      </c>
      <c r="J630" t="s">
        <v>48</v>
      </c>
      <c r="K630" t="s">
        <v>45</v>
      </c>
      <c r="L630" t="s">
        <v>46</v>
      </c>
      <c r="M630" t="s">
        <v>72</v>
      </c>
      <c r="N630" s="15">
        <v>71.77</v>
      </c>
      <c r="O630" s="16">
        <v>-1.4</v>
      </c>
      <c r="P630">
        <v>0</v>
      </c>
    </row>
    <row r="631" spans="1:16" x14ac:dyDescent="0.3">
      <c r="A631" t="s">
        <v>65</v>
      </c>
      <c r="B631" t="s">
        <v>22</v>
      </c>
      <c r="C631" t="s">
        <v>22</v>
      </c>
      <c r="D631" t="s">
        <v>15</v>
      </c>
      <c r="E631" t="s">
        <v>75</v>
      </c>
      <c r="F631" t="s">
        <v>9</v>
      </c>
      <c r="G631" s="15">
        <v>132.52000000000001</v>
      </c>
      <c r="H631" t="s">
        <v>26</v>
      </c>
      <c r="I631">
        <v>2</v>
      </c>
      <c r="J631" t="s">
        <v>47</v>
      </c>
      <c r="K631" t="s">
        <v>45</v>
      </c>
      <c r="L631" t="s">
        <v>45</v>
      </c>
      <c r="M631" t="s">
        <v>67</v>
      </c>
      <c r="N631" s="15">
        <v>126.9</v>
      </c>
      <c r="O631" s="16">
        <v>4.4000000000000004</v>
      </c>
      <c r="P631">
        <v>0</v>
      </c>
    </row>
    <row r="632" spans="1:16" x14ac:dyDescent="0.3">
      <c r="A632" t="s">
        <v>57</v>
      </c>
      <c r="B632" t="s">
        <v>20</v>
      </c>
      <c r="C632" t="s">
        <v>20</v>
      </c>
      <c r="D632" t="s">
        <v>11</v>
      </c>
      <c r="E632" t="s">
        <v>79</v>
      </c>
      <c r="F632" t="s">
        <v>9</v>
      </c>
      <c r="G632" s="15">
        <v>30.31</v>
      </c>
      <c r="H632" t="s">
        <v>26</v>
      </c>
      <c r="I632">
        <v>2</v>
      </c>
      <c r="J632" t="s">
        <v>48</v>
      </c>
      <c r="K632" t="s">
        <v>45</v>
      </c>
      <c r="L632" t="s">
        <v>45</v>
      </c>
      <c r="M632" t="s">
        <v>78</v>
      </c>
      <c r="N632" s="15">
        <v>30.93</v>
      </c>
      <c r="O632" s="16">
        <v>-2</v>
      </c>
      <c r="P632">
        <v>0</v>
      </c>
    </row>
    <row r="633" spans="1:16" x14ac:dyDescent="0.3">
      <c r="A633" t="s">
        <v>57</v>
      </c>
      <c r="B633" t="s">
        <v>22</v>
      </c>
      <c r="C633" t="s">
        <v>22</v>
      </c>
      <c r="D633" t="s">
        <v>8</v>
      </c>
      <c r="E633" t="s">
        <v>74</v>
      </c>
      <c r="F633" t="s">
        <v>9</v>
      </c>
      <c r="G633" s="15">
        <v>88.62</v>
      </c>
      <c r="H633" t="s">
        <v>26</v>
      </c>
      <c r="I633">
        <v>2</v>
      </c>
      <c r="J633" t="s">
        <v>47</v>
      </c>
      <c r="K633" t="s">
        <v>46</v>
      </c>
      <c r="L633" t="s">
        <v>46</v>
      </c>
      <c r="M633" t="s">
        <v>78</v>
      </c>
      <c r="N633" s="15">
        <v>83.41</v>
      </c>
      <c r="O633" s="16">
        <v>6.2</v>
      </c>
      <c r="P633">
        <v>0</v>
      </c>
    </row>
    <row r="634" spans="1:16" x14ac:dyDescent="0.3">
      <c r="A634" t="s">
        <v>60</v>
      </c>
      <c r="B634" t="s">
        <v>21</v>
      </c>
      <c r="C634" t="s">
        <v>62</v>
      </c>
      <c r="D634" t="s">
        <v>11</v>
      </c>
      <c r="E634" t="s">
        <v>70</v>
      </c>
      <c r="F634" t="s">
        <v>9</v>
      </c>
      <c r="G634" s="15">
        <v>33</v>
      </c>
      <c r="H634" t="s">
        <v>27</v>
      </c>
      <c r="I634">
        <v>3</v>
      </c>
      <c r="J634" t="s">
        <v>48</v>
      </c>
      <c r="K634" t="s">
        <v>46</v>
      </c>
      <c r="L634" t="s">
        <v>45</v>
      </c>
      <c r="M634" t="s">
        <v>61</v>
      </c>
      <c r="N634" s="15">
        <v>31.4</v>
      </c>
      <c r="O634" s="16">
        <v>5.0999999999999996</v>
      </c>
      <c r="P634">
        <v>0</v>
      </c>
    </row>
    <row r="635" spans="1:16" x14ac:dyDescent="0.3">
      <c r="A635" t="s">
        <v>57</v>
      </c>
      <c r="B635" t="s">
        <v>19</v>
      </c>
      <c r="C635" t="s">
        <v>19</v>
      </c>
      <c r="D635" t="s">
        <v>8</v>
      </c>
      <c r="E635" t="s">
        <v>73</v>
      </c>
      <c r="F635" t="s">
        <v>9</v>
      </c>
      <c r="G635" s="15">
        <v>86.06</v>
      </c>
      <c r="H635" t="s">
        <v>27</v>
      </c>
      <c r="I635">
        <v>3</v>
      </c>
      <c r="J635" t="s">
        <v>48</v>
      </c>
      <c r="K635" t="s">
        <v>45</v>
      </c>
      <c r="L635" t="s">
        <v>46</v>
      </c>
      <c r="M635" t="s">
        <v>72</v>
      </c>
      <c r="N635" s="15">
        <v>86.06</v>
      </c>
      <c r="O635" s="16">
        <v>0</v>
      </c>
      <c r="P635">
        <v>0</v>
      </c>
    </row>
    <row r="636" spans="1:16" x14ac:dyDescent="0.3">
      <c r="A636" t="s">
        <v>60</v>
      </c>
      <c r="B636" t="s">
        <v>22</v>
      </c>
      <c r="C636" t="s">
        <v>22</v>
      </c>
      <c r="D636" t="s">
        <v>8</v>
      </c>
      <c r="E636" t="s">
        <v>74</v>
      </c>
      <c r="F636" t="s">
        <v>9</v>
      </c>
      <c r="G636" s="15">
        <v>72.81</v>
      </c>
      <c r="H636" t="s">
        <v>27</v>
      </c>
      <c r="I636">
        <v>3</v>
      </c>
      <c r="J636" t="s">
        <v>44</v>
      </c>
      <c r="K636" t="s">
        <v>45</v>
      </c>
      <c r="L636" t="s">
        <v>45</v>
      </c>
      <c r="M636" t="s">
        <v>67</v>
      </c>
      <c r="N636" s="15">
        <v>78.260000000000005</v>
      </c>
      <c r="O636" s="16">
        <v>-7</v>
      </c>
      <c r="P636">
        <v>0</v>
      </c>
    </row>
    <row r="637" spans="1:16" x14ac:dyDescent="0.3">
      <c r="A637" t="s">
        <v>57</v>
      </c>
      <c r="B637" t="s">
        <v>22</v>
      </c>
      <c r="C637" t="s">
        <v>22</v>
      </c>
      <c r="D637" t="s">
        <v>14</v>
      </c>
      <c r="E637" t="s">
        <v>77</v>
      </c>
      <c r="F637" t="s">
        <v>9</v>
      </c>
      <c r="G637" s="15">
        <v>65.150000000000006</v>
      </c>
      <c r="H637" t="s">
        <v>26</v>
      </c>
      <c r="I637">
        <v>2</v>
      </c>
      <c r="J637" t="s">
        <v>48</v>
      </c>
      <c r="K637" t="s">
        <v>46</v>
      </c>
      <c r="L637" t="s">
        <v>45</v>
      </c>
      <c r="M637" t="s">
        <v>61</v>
      </c>
      <c r="N637" s="15">
        <v>65.97</v>
      </c>
      <c r="O637" s="16">
        <v>-1.2</v>
      </c>
      <c r="P637">
        <v>0</v>
      </c>
    </row>
    <row r="638" spans="1:16" x14ac:dyDescent="0.3">
      <c r="A638" t="s">
        <v>65</v>
      </c>
      <c r="B638" t="s">
        <v>19</v>
      </c>
      <c r="C638" t="s">
        <v>19</v>
      </c>
      <c r="D638" t="s">
        <v>14</v>
      </c>
      <c r="E638" t="s">
        <v>77</v>
      </c>
      <c r="F638" t="s">
        <v>9</v>
      </c>
      <c r="G638" s="15">
        <v>80</v>
      </c>
      <c r="H638" t="s">
        <v>25</v>
      </c>
      <c r="I638">
        <v>1</v>
      </c>
      <c r="J638" t="s">
        <v>47</v>
      </c>
      <c r="K638" t="s">
        <v>45</v>
      </c>
      <c r="L638" t="s">
        <v>46</v>
      </c>
      <c r="M638" t="s">
        <v>72</v>
      </c>
      <c r="N638" s="15">
        <v>70.66</v>
      </c>
      <c r="O638" s="16">
        <v>13.2</v>
      </c>
      <c r="P638">
        <v>0</v>
      </c>
    </row>
    <row r="639" spans="1:16" x14ac:dyDescent="0.3">
      <c r="A639" t="s">
        <v>57</v>
      </c>
      <c r="B639" t="s">
        <v>19</v>
      </c>
      <c r="C639" t="s">
        <v>19</v>
      </c>
      <c r="D639" t="s">
        <v>8</v>
      </c>
      <c r="E639" t="s">
        <v>74</v>
      </c>
      <c r="F639" t="s">
        <v>9</v>
      </c>
      <c r="G639" s="15">
        <v>62.35</v>
      </c>
      <c r="H639" t="s">
        <v>26</v>
      </c>
      <c r="I639">
        <v>2</v>
      </c>
      <c r="J639" t="s">
        <v>48</v>
      </c>
      <c r="K639" t="s">
        <v>45</v>
      </c>
      <c r="L639" t="s">
        <v>45</v>
      </c>
      <c r="M639" t="s">
        <v>68</v>
      </c>
      <c r="N639" s="15">
        <v>83.41</v>
      </c>
      <c r="O639" s="16">
        <v>-25.2</v>
      </c>
      <c r="P639">
        <v>0</v>
      </c>
    </row>
    <row r="640" spans="1:16" x14ac:dyDescent="0.3">
      <c r="A640" t="s">
        <v>60</v>
      </c>
      <c r="B640" t="s">
        <v>19</v>
      </c>
      <c r="C640" t="s">
        <v>19</v>
      </c>
      <c r="D640" t="s">
        <v>8</v>
      </c>
      <c r="E640" t="s">
        <v>73</v>
      </c>
      <c r="F640" t="s">
        <v>9</v>
      </c>
      <c r="G640" s="15">
        <v>112.65</v>
      </c>
      <c r="H640" t="s">
        <v>25</v>
      </c>
      <c r="I640">
        <v>1</v>
      </c>
      <c r="J640" t="s">
        <v>48</v>
      </c>
      <c r="K640" t="s">
        <v>45</v>
      </c>
      <c r="L640" t="s">
        <v>45</v>
      </c>
      <c r="M640" t="s">
        <v>64</v>
      </c>
      <c r="N640" s="15">
        <v>82.04</v>
      </c>
      <c r="O640" s="16">
        <v>37.299999999999997</v>
      </c>
      <c r="P640">
        <v>1</v>
      </c>
    </row>
    <row r="641" spans="1:16" x14ac:dyDescent="0.3">
      <c r="A641" t="s">
        <v>57</v>
      </c>
      <c r="B641" t="s">
        <v>17</v>
      </c>
      <c r="C641" t="s">
        <v>17</v>
      </c>
      <c r="D641" t="s">
        <v>14</v>
      </c>
      <c r="E641" t="s">
        <v>63</v>
      </c>
      <c r="F641" t="s">
        <v>9</v>
      </c>
      <c r="G641" s="15">
        <v>64.040000000000006</v>
      </c>
      <c r="H641" t="s">
        <v>26</v>
      </c>
      <c r="I641">
        <v>2</v>
      </c>
      <c r="J641" t="s">
        <v>47</v>
      </c>
      <c r="K641" t="s">
        <v>46</v>
      </c>
      <c r="L641" t="s">
        <v>45</v>
      </c>
      <c r="M641" t="s">
        <v>78</v>
      </c>
      <c r="N641" s="15">
        <v>65.16</v>
      </c>
      <c r="O641" s="16">
        <v>-1.7</v>
      </c>
      <c r="P641">
        <v>0</v>
      </c>
    </row>
    <row r="642" spans="1:16" x14ac:dyDescent="0.3">
      <c r="A642" t="s">
        <v>57</v>
      </c>
      <c r="B642" t="s">
        <v>21</v>
      </c>
      <c r="C642" t="s">
        <v>62</v>
      </c>
      <c r="D642" t="s">
        <v>8</v>
      </c>
      <c r="E642" t="s">
        <v>74</v>
      </c>
      <c r="F642" t="s">
        <v>9</v>
      </c>
      <c r="G642" s="15">
        <v>88.34</v>
      </c>
      <c r="H642" t="s">
        <v>26</v>
      </c>
      <c r="I642">
        <v>2</v>
      </c>
      <c r="J642" t="s">
        <v>47</v>
      </c>
      <c r="K642" t="s">
        <v>45</v>
      </c>
      <c r="L642" t="s">
        <v>45</v>
      </c>
      <c r="M642" t="s">
        <v>64</v>
      </c>
      <c r="N642" s="15">
        <v>83.41</v>
      </c>
      <c r="O642" s="16">
        <v>5.9</v>
      </c>
      <c r="P642">
        <v>0</v>
      </c>
    </row>
    <row r="643" spans="1:16" x14ac:dyDescent="0.3">
      <c r="A643" t="s">
        <v>57</v>
      </c>
      <c r="B643" t="s">
        <v>19</v>
      </c>
      <c r="C643" t="s">
        <v>19</v>
      </c>
      <c r="D643" t="s">
        <v>8</v>
      </c>
      <c r="E643" t="s">
        <v>74</v>
      </c>
      <c r="F643" t="s">
        <v>9</v>
      </c>
      <c r="G643" s="15">
        <v>81.93</v>
      </c>
      <c r="H643" t="s">
        <v>25</v>
      </c>
      <c r="I643">
        <v>1</v>
      </c>
      <c r="J643" t="s">
        <v>48</v>
      </c>
      <c r="K643" t="s">
        <v>46</v>
      </c>
      <c r="L643" t="s">
        <v>45</v>
      </c>
      <c r="M643" t="s">
        <v>64</v>
      </c>
      <c r="N643" s="15">
        <v>83.41</v>
      </c>
      <c r="O643" s="16">
        <v>-1.8</v>
      </c>
      <c r="P643">
        <v>0</v>
      </c>
    </row>
    <row r="644" spans="1:16" x14ac:dyDescent="0.3">
      <c r="A644" t="s">
        <v>65</v>
      </c>
      <c r="B644" t="s">
        <v>22</v>
      </c>
      <c r="C644" t="s">
        <v>22</v>
      </c>
      <c r="D644" t="s">
        <v>11</v>
      </c>
      <c r="E644" t="s">
        <v>79</v>
      </c>
      <c r="F644" t="s">
        <v>9</v>
      </c>
      <c r="G644" s="15">
        <v>32.58</v>
      </c>
      <c r="H644" t="s">
        <v>26</v>
      </c>
      <c r="I644">
        <v>2</v>
      </c>
      <c r="J644" t="s">
        <v>48</v>
      </c>
      <c r="K644" t="s">
        <v>45</v>
      </c>
      <c r="L644" t="s">
        <v>45</v>
      </c>
      <c r="M644" t="s">
        <v>59</v>
      </c>
      <c r="N644" s="15">
        <v>33.39</v>
      </c>
      <c r="O644" s="16">
        <v>-2.4</v>
      </c>
      <c r="P644">
        <v>0</v>
      </c>
    </row>
    <row r="645" spans="1:16" x14ac:dyDescent="0.3">
      <c r="A645" t="s">
        <v>65</v>
      </c>
      <c r="B645" t="s">
        <v>20</v>
      </c>
      <c r="C645" t="s">
        <v>20</v>
      </c>
      <c r="D645" t="s">
        <v>8</v>
      </c>
      <c r="E645" t="s">
        <v>73</v>
      </c>
      <c r="F645" t="s">
        <v>9</v>
      </c>
      <c r="G645" s="15">
        <v>72.97</v>
      </c>
      <c r="H645" t="s">
        <v>26</v>
      </c>
      <c r="I645">
        <v>2</v>
      </c>
      <c r="J645" t="s">
        <v>48</v>
      </c>
      <c r="K645" t="s">
        <v>46</v>
      </c>
      <c r="L645" t="s">
        <v>45</v>
      </c>
      <c r="M645" t="s">
        <v>72</v>
      </c>
      <c r="N645" s="15">
        <v>88.05</v>
      </c>
      <c r="O645" s="16">
        <v>-17.100000000000001</v>
      </c>
      <c r="P645">
        <v>0</v>
      </c>
    </row>
    <row r="646" spans="1:16" x14ac:dyDescent="0.3">
      <c r="A646" t="s">
        <v>57</v>
      </c>
      <c r="B646" t="s">
        <v>21</v>
      </c>
      <c r="C646" t="s">
        <v>62</v>
      </c>
      <c r="D646" t="s">
        <v>10</v>
      </c>
      <c r="E646" t="s">
        <v>58</v>
      </c>
      <c r="F646" t="s">
        <v>9</v>
      </c>
      <c r="G646" s="15">
        <v>118.46</v>
      </c>
      <c r="H646" t="s">
        <v>27</v>
      </c>
      <c r="I646">
        <v>3</v>
      </c>
      <c r="J646" t="s">
        <v>48</v>
      </c>
      <c r="K646" t="s">
        <v>46</v>
      </c>
      <c r="L646" t="s">
        <v>45</v>
      </c>
      <c r="M646" t="s">
        <v>59</v>
      </c>
      <c r="N646" s="15">
        <v>151.19</v>
      </c>
      <c r="O646" s="16">
        <v>-21.6</v>
      </c>
      <c r="P646">
        <v>0</v>
      </c>
    </row>
    <row r="647" spans="1:16" x14ac:dyDescent="0.3">
      <c r="A647" t="s">
        <v>65</v>
      </c>
      <c r="B647" t="s">
        <v>19</v>
      </c>
      <c r="C647" t="s">
        <v>19</v>
      </c>
      <c r="D647" t="s">
        <v>12</v>
      </c>
      <c r="E647" t="s">
        <v>80</v>
      </c>
      <c r="F647" t="s">
        <v>13</v>
      </c>
      <c r="G647" s="15">
        <v>140.53</v>
      </c>
      <c r="H647" t="s">
        <v>27</v>
      </c>
      <c r="I647">
        <v>3</v>
      </c>
      <c r="J647" t="s">
        <v>47</v>
      </c>
      <c r="K647" t="s">
        <v>46</v>
      </c>
      <c r="L647" t="s">
        <v>45</v>
      </c>
      <c r="M647" t="s">
        <v>61</v>
      </c>
      <c r="N647" s="15">
        <v>176.57</v>
      </c>
      <c r="O647" s="16">
        <v>-20.399999999999999</v>
      </c>
      <c r="P647">
        <v>0</v>
      </c>
    </row>
    <row r="648" spans="1:16" x14ac:dyDescent="0.3">
      <c r="A648" t="s">
        <v>57</v>
      </c>
      <c r="B648" t="s">
        <v>21</v>
      </c>
      <c r="C648" t="s">
        <v>62</v>
      </c>
      <c r="D648" t="s">
        <v>14</v>
      </c>
      <c r="E648" t="s">
        <v>77</v>
      </c>
      <c r="F648" t="s">
        <v>9</v>
      </c>
      <c r="G648" s="15">
        <v>73.209999999999994</v>
      </c>
      <c r="H648" t="s">
        <v>26</v>
      </c>
      <c r="I648">
        <v>2</v>
      </c>
      <c r="J648" t="s">
        <v>47</v>
      </c>
      <c r="K648" t="s">
        <v>45</v>
      </c>
      <c r="L648" t="s">
        <v>45</v>
      </c>
      <c r="M648" t="s">
        <v>72</v>
      </c>
      <c r="N648" s="15">
        <v>65.97</v>
      </c>
      <c r="O648" s="16">
        <v>11</v>
      </c>
      <c r="P648">
        <v>0</v>
      </c>
    </row>
    <row r="649" spans="1:16" x14ac:dyDescent="0.3">
      <c r="A649" t="s">
        <v>65</v>
      </c>
      <c r="B649" t="s">
        <v>21</v>
      </c>
      <c r="C649" t="s">
        <v>62</v>
      </c>
      <c r="D649" t="s">
        <v>14</v>
      </c>
      <c r="E649" t="s">
        <v>77</v>
      </c>
      <c r="F649" t="s">
        <v>9</v>
      </c>
      <c r="G649" s="15">
        <v>66.099999999999994</v>
      </c>
      <c r="H649" t="s">
        <v>26</v>
      </c>
      <c r="I649">
        <v>2</v>
      </c>
      <c r="J649" t="s">
        <v>47</v>
      </c>
      <c r="K649" t="s">
        <v>45</v>
      </c>
      <c r="L649" t="s">
        <v>45</v>
      </c>
      <c r="M649" t="s">
        <v>72</v>
      </c>
      <c r="N649" s="15">
        <v>70.66</v>
      </c>
      <c r="O649" s="16">
        <v>-6.5</v>
      </c>
      <c r="P649">
        <v>0</v>
      </c>
    </row>
    <row r="650" spans="1:16" x14ac:dyDescent="0.3">
      <c r="A650" t="s">
        <v>65</v>
      </c>
      <c r="B650" t="s">
        <v>17</v>
      </c>
      <c r="C650" t="s">
        <v>17</v>
      </c>
      <c r="D650" t="s">
        <v>8</v>
      </c>
      <c r="E650" t="s">
        <v>73</v>
      </c>
      <c r="F650" t="s">
        <v>9</v>
      </c>
      <c r="G650" s="15">
        <v>80.64</v>
      </c>
      <c r="H650" t="s">
        <v>27</v>
      </c>
      <c r="I650">
        <v>3</v>
      </c>
      <c r="J650" t="s">
        <v>44</v>
      </c>
      <c r="K650" t="s">
        <v>45</v>
      </c>
      <c r="L650" t="s">
        <v>45</v>
      </c>
      <c r="M650" t="s">
        <v>59</v>
      </c>
      <c r="N650" s="15">
        <v>88.05</v>
      </c>
      <c r="O650" s="16">
        <v>-8.4</v>
      </c>
      <c r="P650">
        <v>0</v>
      </c>
    </row>
    <row r="651" spans="1:16" x14ac:dyDescent="0.3">
      <c r="A651" t="s">
        <v>65</v>
      </c>
      <c r="B651" t="s">
        <v>17</v>
      </c>
      <c r="C651" t="s">
        <v>17</v>
      </c>
      <c r="D651" t="s">
        <v>8</v>
      </c>
      <c r="E651" t="s">
        <v>73</v>
      </c>
      <c r="F651" t="s">
        <v>9</v>
      </c>
      <c r="G651" s="15">
        <v>103.59</v>
      </c>
      <c r="H651" t="s">
        <v>26</v>
      </c>
      <c r="I651">
        <v>2</v>
      </c>
      <c r="J651" t="s">
        <v>48</v>
      </c>
      <c r="K651" t="s">
        <v>45</v>
      </c>
      <c r="L651" t="s">
        <v>45</v>
      </c>
      <c r="M651" t="s">
        <v>64</v>
      </c>
      <c r="N651" s="15">
        <v>88.05</v>
      </c>
      <c r="O651" s="16">
        <v>17.600000000000001</v>
      </c>
      <c r="P651">
        <v>1</v>
      </c>
    </row>
    <row r="652" spans="1:16" x14ac:dyDescent="0.3">
      <c r="A652" t="s">
        <v>57</v>
      </c>
      <c r="B652" t="s">
        <v>19</v>
      </c>
      <c r="C652" t="s">
        <v>19</v>
      </c>
      <c r="D652" t="s">
        <v>14</v>
      </c>
      <c r="E652" t="s">
        <v>77</v>
      </c>
      <c r="F652" t="s">
        <v>9</v>
      </c>
      <c r="G652" s="15">
        <v>64.81</v>
      </c>
      <c r="H652" t="s">
        <v>27</v>
      </c>
      <c r="I652">
        <v>3</v>
      </c>
      <c r="J652" t="s">
        <v>47</v>
      </c>
      <c r="K652" t="s">
        <v>46</v>
      </c>
      <c r="L652" t="s">
        <v>46</v>
      </c>
      <c r="M652" t="s">
        <v>59</v>
      </c>
      <c r="N652" s="15">
        <v>65.97</v>
      </c>
      <c r="O652" s="16">
        <v>-1.8</v>
      </c>
      <c r="P652">
        <v>0</v>
      </c>
    </row>
    <row r="653" spans="1:16" x14ac:dyDescent="0.3">
      <c r="A653" t="s">
        <v>57</v>
      </c>
      <c r="B653" t="s">
        <v>17</v>
      </c>
      <c r="C653" t="s">
        <v>17</v>
      </c>
      <c r="D653" t="s">
        <v>11</v>
      </c>
      <c r="E653" t="s">
        <v>70</v>
      </c>
      <c r="F653" t="s">
        <v>9</v>
      </c>
      <c r="G653" s="15">
        <v>38.54</v>
      </c>
      <c r="H653" t="s">
        <v>26</v>
      </c>
      <c r="I653">
        <v>2</v>
      </c>
      <c r="J653" t="s">
        <v>47</v>
      </c>
      <c r="K653" t="s">
        <v>45</v>
      </c>
      <c r="L653" t="s">
        <v>46</v>
      </c>
      <c r="M653" t="s">
        <v>61</v>
      </c>
      <c r="N653" s="15">
        <v>30.5</v>
      </c>
      <c r="O653" s="16">
        <v>26.4</v>
      </c>
      <c r="P653">
        <v>1</v>
      </c>
    </row>
    <row r="654" spans="1:16" x14ac:dyDescent="0.3">
      <c r="A654" t="s">
        <v>65</v>
      </c>
      <c r="B654" t="s">
        <v>22</v>
      </c>
      <c r="C654" t="s">
        <v>22</v>
      </c>
      <c r="D654" t="s">
        <v>15</v>
      </c>
      <c r="E654" t="s">
        <v>76</v>
      </c>
      <c r="F654" t="s">
        <v>9</v>
      </c>
      <c r="G654" s="15">
        <v>106.41</v>
      </c>
      <c r="H654" t="s">
        <v>26</v>
      </c>
      <c r="I654">
        <v>2</v>
      </c>
      <c r="J654" t="s">
        <v>48</v>
      </c>
      <c r="K654" t="s">
        <v>46</v>
      </c>
      <c r="L654" t="s">
        <v>45</v>
      </c>
      <c r="M654" t="s">
        <v>61</v>
      </c>
      <c r="N654" s="15">
        <v>126.51</v>
      </c>
      <c r="O654" s="16">
        <v>-15.9</v>
      </c>
      <c r="P654">
        <v>0</v>
      </c>
    </row>
    <row r="655" spans="1:16" x14ac:dyDescent="0.3">
      <c r="A655" t="s">
        <v>65</v>
      </c>
      <c r="B655" t="s">
        <v>21</v>
      </c>
      <c r="C655" t="s">
        <v>62</v>
      </c>
      <c r="D655" t="s">
        <v>11</v>
      </c>
      <c r="E655" t="s">
        <v>70</v>
      </c>
      <c r="F655" t="s">
        <v>9</v>
      </c>
      <c r="G655" s="15">
        <v>32.79</v>
      </c>
      <c r="H655" t="s">
        <v>27</v>
      </c>
      <c r="I655">
        <v>3</v>
      </c>
      <c r="J655" t="s">
        <v>48</v>
      </c>
      <c r="K655" t="s">
        <v>45</v>
      </c>
      <c r="L655" t="s">
        <v>46</v>
      </c>
      <c r="M655" t="s">
        <v>67</v>
      </c>
      <c r="N655" s="15">
        <v>32.630000000000003</v>
      </c>
      <c r="O655" s="16">
        <v>0.5</v>
      </c>
      <c r="P655">
        <v>0</v>
      </c>
    </row>
    <row r="656" spans="1:16" x14ac:dyDescent="0.3">
      <c r="A656" t="s">
        <v>65</v>
      </c>
      <c r="B656" t="s">
        <v>20</v>
      </c>
      <c r="C656" t="s">
        <v>20</v>
      </c>
      <c r="D656" t="s">
        <v>14</v>
      </c>
      <c r="E656" t="s">
        <v>71</v>
      </c>
      <c r="F656" t="s">
        <v>9</v>
      </c>
      <c r="G656" s="15">
        <v>61.64</v>
      </c>
      <c r="H656" t="s">
        <v>27</v>
      </c>
      <c r="I656">
        <v>3</v>
      </c>
      <c r="J656" t="s">
        <v>47</v>
      </c>
      <c r="K656" t="s">
        <v>46</v>
      </c>
      <c r="L656" t="s">
        <v>45</v>
      </c>
      <c r="M656" t="s">
        <v>64</v>
      </c>
      <c r="N656" s="15">
        <v>71.77</v>
      </c>
      <c r="O656" s="16">
        <v>-14.1</v>
      </c>
      <c r="P656">
        <v>0</v>
      </c>
    </row>
    <row r="657" spans="1:16" x14ac:dyDescent="0.3">
      <c r="A657" t="s">
        <v>60</v>
      </c>
      <c r="B657" t="s">
        <v>20</v>
      </c>
      <c r="C657" t="s">
        <v>20</v>
      </c>
      <c r="D657" t="s">
        <v>12</v>
      </c>
      <c r="E657" t="s">
        <v>66</v>
      </c>
      <c r="F657" t="s">
        <v>13</v>
      </c>
      <c r="G657" s="15">
        <v>134.52000000000001</v>
      </c>
      <c r="H657" t="s">
        <v>27</v>
      </c>
      <c r="I657">
        <v>3</v>
      </c>
      <c r="J657" t="s">
        <v>48</v>
      </c>
      <c r="K657" t="s">
        <v>46</v>
      </c>
      <c r="L657" t="s">
        <v>45</v>
      </c>
      <c r="M657" t="s">
        <v>64</v>
      </c>
      <c r="N657" s="15">
        <v>168.34</v>
      </c>
      <c r="O657" s="16">
        <v>-20.100000000000001</v>
      </c>
      <c r="P657">
        <v>0</v>
      </c>
    </row>
    <row r="658" spans="1:16" x14ac:dyDescent="0.3">
      <c r="A658" t="s">
        <v>65</v>
      </c>
      <c r="B658" t="s">
        <v>19</v>
      </c>
      <c r="C658" t="s">
        <v>19</v>
      </c>
      <c r="D658" t="s">
        <v>11</v>
      </c>
      <c r="E658" t="s">
        <v>70</v>
      </c>
      <c r="F658" t="s">
        <v>9</v>
      </c>
      <c r="G658" s="15">
        <v>28.93</v>
      </c>
      <c r="H658" t="s">
        <v>27</v>
      </c>
      <c r="I658">
        <v>3</v>
      </c>
      <c r="J658" t="s">
        <v>48</v>
      </c>
      <c r="K658" t="s">
        <v>45</v>
      </c>
      <c r="L658" t="s">
        <v>46</v>
      </c>
      <c r="M658" t="s">
        <v>64</v>
      </c>
      <c r="N658" s="15">
        <v>32.630000000000003</v>
      </c>
      <c r="O658" s="16">
        <v>-11.3</v>
      </c>
      <c r="P658">
        <v>0</v>
      </c>
    </row>
    <row r="659" spans="1:16" x14ac:dyDescent="0.3">
      <c r="A659" t="s">
        <v>60</v>
      </c>
      <c r="B659" t="s">
        <v>17</v>
      </c>
      <c r="C659" t="s">
        <v>17</v>
      </c>
      <c r="D659" t="s">
        <v>10</v>
      </c>
      <c r="E659" t="s">
        <v>58</v>
      </c>
      <c r="F659" t="s">
        <v>9</v>
      </c>
      <c r="G659" s="15">
        <v>153.56</v>
      </c>
      <c r="H659" t="s">
        <v>27</v>
      </c>
      <c r="I659">
        <v>3</v>
      </c>
      <c r="J659" t="s">
        <v>48</v>
      </c>
      <c r="K659" t="s">
        <v>45</v>
      </c>
      <c r="L659" t="s">
        <v>45</v>
      </c>
      <c r="M659" t="s">
        <v>78</v>
      </c>
      <c r="N659" s="15">
        <v>152.03</v>
      </c>
      <c r="O659" s="16">
        <v>1</v>
      </c>
      <c r="P659">
        <v>0</v>
      </c>
    </row>
    <row r="660" spans="1:16" x14ac:dyDescent="0.3">
      <c r="A660" t="s">
        <v>57</v>
      </c>
      <c r="B660" t="s">
        <v>19</v>
      </c>
      <c r="C660" t="s">
        <v>19</v>
      </c>
      <c r="D660" t="s">
        <v>15</v>
      </c>
      <c r="E660" t="s">
        <v>76</v>
      </c>
      <c r="F660" t="s">
        <v>9</v>
      </c>
      <c r="G660" s="15">
        <v>111.57</v>
      </c>
      <c r="H660" t="s">
        <v>26</v>
      </c>
      <c r="I660">
        <v>2</v>
      </c>
      <c r="J660" t="s">
        <v>47</v>
      </c>
      <c r="K660" t="s">
        <v>46</v>
      </c>
      <c r="L660" t="s">
        <v>45</v>
      </c>
      <c r="M660" t="s">
        <v>59</v>
      </c>
      <c r="N660" s="15">
        <v>118.59</v>
      </c>
      <c r="O660" s="16">
        <v>-5.9</v>
      </c>
      <c r="P660">
        <v>0</v>
      </c>
    </row>
    <row r="661" spans="1:16" x14ac:dyDescent="0.3">
      <c r="A661" t="s">
        <v>65</v>
      </c>
      <c r="B661" t="s">
        <v>22</v>
      </c>
      <c r="C661" t="s">
        <v>22</v>
      </c>
      <c r="D661" t="s">
        <v>14</v>
      </c>
      <c r="E661" t="s">
        <v>63</v>
      </c>
      <c r="F661" t="s">
        <v>9</v>
      </c>
      <c r="G661" s="15">
        <v>56.87</v>
      </c>
      <c r="H661" t="s">
        <v>26</v>
      </c>
      <c r="I661">
        <v>2</v>
      </c>
      <c r="J661" t="s">
        <v>48</v>
      </c>
      <c r="K661" t="s">
        <v>46</v>
      </c>
      <c r="L661" t="s">
        <v>45</v>
      </c>
      <c r="M661" t="s">
        <v>64</v>
      </c>
      <c r="N661" s="15">
        <v>68.150000000000006</v>
      </c>
      <c r="O661" s="16">
        <v>-16.600000000000001</v>
      </c>
      <c r="P661">
        <v>0</v>
      </c>
    </row>
    <row r="662" spans="1:16" x14ac:dyDescent="0.3">
      <c r="A662" t="s">
        <v>57</v>
      </c>
      <c r="B662" t="s">
        <v>22</v>
      </c>
      <c r="C662" t="s">
        <v>22</v>
      </c>
      <c r="D662" t="s">
        <v>11</v>
      </c>
      <c r="E662" t="s">
        <v>70</v>
      </c>
      <c r="F662" t="s">
        <v>9</v>
      </c>
      <c r="G662" s="15">
        <v>32.01</v>
      </c>
      <c r="H662" t="s">
        <v>26</v>
      </c>
      <c r="I662">
        <v>2</v>
      </c>
      <c r="J662" t="s">
        <v>48</v>
      </c>
      <c r="K662" t="s">
        <v>46</v>
      </c>
      <c r="L662" t="s">
        <v>45</v>
      </c>
      <c r="M662" t="s">
        <v>61</v>
      </c>
      <c r="N662" s="15">
        <v>30.5</v>
      </c>
      <c r="O662" s="16">
        <v>5</v>
      </c>
      <c r="P662">
        <v>0</v>
      </c>
    </row>
    <row r="663" spans="1:16" x14ac:dyDescent="0.3">
      <c r="A663" t="s">
        <v>65</v>
      </c>
      <c r="B663" t="s">
        <v>21</v>
      </c>
      <c r="C663" t="s">
        <v>62</v>
      </c>
      <c r="D663" t="s">
        <v>10</v>
      </c>
      <c r="E663" t="s">
        <v>69</v>
      </c>
      <c r="F663" t="s">
        <v>9</v>
      </c>
      <c r="G663" s="15">
        <v>152.11000000000001</v>
      </c>
      <c r="H663" t="s">
        <v>26</v>
      </c>
      <c r="I663">
        <v>2</v>
      </c>
      <c r="J663" t="s">
        <v>47</v>
      </c>
      <c r="K663" t="s">
        <v>46</v>
      </c>
      <c r="L663" t="s">
        <v>45</v>
      </c>
      <c r="M663" t="s">
        <v>64</v>
      </c>
      <c r="N663" s="15">
        <v>158.91999999999999</v>
      </c>
      <c r="O663" s="16">
        <v>-4.3</v>
      </c>
      <c r="P663">
        <v>0</v>
      </c>
    </row>
    <row r="664" spans="1:16" x14ac:dyDescent="0.3">
      <c r="A664" t="s">
        <v>57</v>
      </c>
      <c r="B664" t="s">
        <v>20</v>
      </c>
      <c r="C664" t="s">
        <v>20</v>
      </c>
      <c r="D664" t="s">
        <v>12</v>
      </c>
      <c r="E664" t="s">
        <v>80</v>
      </c>
      <c r="F664" t="s">
        <v>13</v>
      </c>
      <c r="G664" s="15">
        <v>188.84</v>
      </c>
      <c r="H664" t="s">
        <v>25</v>
      </c>
      <c r="I664">
        <v>1</v>
      </c>
      <c r="J664" t="s">
        <v>47</v>
      </c>
      <c r="K664" t="s">
        <v>45</v>
      </c>
      <c r="L664" t="s">
        <v>45</v>
      </c>
      <c r="M664" t="s">
        <v>72</v>
      </c>
      <c r="N664" s="15">
        <v>162.72999999999999</v>
      </c>
      <c r="O664" s="16">
        <v>16</v>
      </c>
      <c r="P664">
        <v>1</v>
      </c>
    </row>
    <row r="665" spans="1:16" x14ac:dyDescent="0.3">
      <c r="A665" t="s">
        <v>57</v>
      </c>
      <c r="B665" t="s">
        <v>17</v>
      </c>
      <c r="C665" t="s">
        <v>17</v>
      </c>
      <c r="D665" t="s">
        <v>15</v>
      </c>
      <c r="E665" t="s">
        <v>76</v>
      </c>
      <c r="F665" t="s">
        <v>9</v>
      </c>
      <c r="G665" s="15">
        <v>92.68</v>
      </c>
      <c r="H665" t="s">
        <v>27</v>
      </c>
      <c r="I665">
        <v>3</v>
      </c>
      <c r="J665" t="s">
        <v>48</v>
      </c>
      <c r="K665" t="s">
        <v>46</v>
      </c>
      <c r="L665" t="s">
        <v>45</v>
      </c>
      <c r="M665" t="s">
        <v>72</v>
      </c>
      <c r="N665" s="15">
        <v>118.59</v>
      </c>
      <c r="O665" s="16">
        <v>-21.8</v>
      </c>
      <c r="P665">
        <v>0</v>
      </c>
    </row>
    <row r="666" spans="1:16" x14ac:dyDescent="0.3">
      <c r="A666" t="s">
        <v>65</v>
      </c>
      <c r="B666" t="s">
        <v>22</v>
      </c>
      <c r="C666" t="s">
        <v>22</v>
      </c>
      <c r="D666" t="s">
        <v>12</v>
      </c>
      <c r="E666" t="s">
        <v>66</v>
      </c>
      <c r="F666" t="s">
        <v>13</v>
      </c>
      <c r="G666" s="15">
        <v>154.75</v>
      </c>
      <c r="H666" t="s">
        <v>26</v>
      </c>
      <c r="I666">
        <v>2</v>
      </c>
      <c r="J666" t="s">
        <v>47</v>
      </c>
      <c r="K666" t="s">
        <v>45</v>
      </c>
      <c r="L666" t="s">
        <v>45</v>
      </c>
      <c r="M666" t="s">
        <v>59</v>
      </c>
      <c r="N666" s="15">
        <v>178.49</v>
      </c>
      <c r="O666" s="16">
        <v>-13.3</v>
      </c>
      <c r="P666">
        <v>0</v>
      </c>
    </row>
    <row r="667" spans="1:16" x14ac:dyDescent="0.3">
      <c r="A667" t="s">
        <v>57</v>
      </c>
      <c r="B667" t="s">
        <v>17</v>
      </c>
      <c r="C667" t="s">
        <v>17</v>
      </c>
      <c r="D667" t="s">
        <v>8</v>
      </c>
      <c r="E667" t="s">
        <v>74</v>
      </c>
      <c r="F667" t="s">
        <v>9</v>
      </c>
      <c r="G667" s="15">
        <v>68.62</v>
      </c>
      <c r="H667" t="s">
        <v>27</v>
      </c>
      <c r="I667">
        <v>3</v>
      </c>
      <c r="J667" t="s">
        <v>47</v>
      </c>
      <c r="K667" t="s">
        <v>46</v>
      </c>
      <c r="L667" t="s">
        <v>45</v>
      </c>
      <c r="M667" t="s">
        <v>64</v>
      </c>
      <c r="N667" s="15">
        <v>83.41</v>
      </c>
      <c r="O667" s="16">
        <v>-17.7</v>
      </c>
      <c r="P667">
        <v>0</v>
      </c>
    </row>
    <row r="668" spans="1:16" x14ac:dyDescent="0.3">
      <c r="A668" t="s">
        <v>60</v>
      </c>
      <c r="B668" t="s">
        <v>21</v>
      </c>
      <c r="C668" t="s">
        <v>62</v>
      </c>
      <c r="D668" t="s">
        <v>14</v>
      </c>
      <c r="E668" t="s">
        <v>77</v>
      </c>
      <c r="F668" t="s">
        <v>9</v>
      </c>
      <c r="G668" s="15">
        <v>68.56</v>
      </c>
      <c r="H668" t="s">
        <v>26</v>
      </c>
      <c r="I668">
        <v>2</v>
      </c>
      <c r="J668" t="s">
        <v>48</v>
      </c>
      <c r="K668" t="s">
        <v>45</v>
      </c>
      <c r="L668" t="s">
        <v>45</v>
      </c>
      <c r="M668" t="s">
        <v>64</v>
      </c>
      <c r="N668" s="15">
        <v>67.13</v>
      </c>
      <c r="O668" s="16">
        <v>2.1</v>
      </c>
      <c r="P668">
        <v>0</v>
      </c>
    </row>
    <row r="669" spans="1:16" x14ac:dyDescent="0.3">
      <c r="A669" t="s">
        <v>60</v>
      </c>
      <c r="B669" t="s">
        <v>22</v>
      </c>
      <c r="C669" t="s">
        <v>22</v>
      </c>
      <c r="D669" t="s">
        <v>10</v>
      </c>
      <c r="E669" t="s">
        <v>58</v>
      </c>
      <c r="F669" t="s">
        <v>9</v>
      </c>
      <c r="G669" s="15">
        <v>132.52000000000001</v>
      </c>
      <c r="H669" t="s">
        <v>27</v>
      </c>
      <c r="I669">
        <v>3</v>
      </c>
      <c r="J669" t="s">
        <v>48</v>
      </c>
      <c r="K669" t="s">
        <v>46</v>
      </c>
      <c r="L669" t="s">
        <v>45</v>
      </c>
      <c r="M669" t="s">
        <v>78</v>
      </c>
      <c r="N669" s="15">
        <v>152.03</v>
      </c>
      <c r="O669" s="16">
        <v>-12.8</v>
      </c>
      <c r="P669">
        <v>0</v>
      </c>
    </row>
    <row r="670" spans="1:16" x14ac:dyDescent="0.3">
      <c r="A670" t="s">
        <v>65</v>
      </c>
      <c r="B670" t="s">
        <v>20</v>
      </c>
      <c r="C670" t="s">
        <v>20</v>
      </c>
      <c r="D670" t="s">
        <v>8</v>
      </c>
      <c r="E670" t="s">
        <v>74</v>
      </c>
      <c r="F670" t="s">
        <v>9</v>
      </c>
      <c r="G670" s="15">
        <v>82.54</v>
      </c>
      <c r="H670" t="s">
        <v>26</v>
      </c>
      <c r="I670">
        <v>2</v>
      </c>
      <c r="J670" t="s">
        <v>47</v>
      </c>
      <c r="K670" t="s">
        <v>45</v>
      </c>
      <c r="L670" t="s">
        <v>45</v>
      </c>
      <c r="M670" t="s">
        <v>61</v>
      </c>
      <c r="N670" s="15">
        <v>91.13</v>
      </c>
      <c r="O670" s="16">
        <v>-9.4</v>
      </c>
      <c r="P670">
        <v>0</v>
      </c>
    </row>
    <row r="671" spans="1:16" x14ac:dyDescent="0.3">
      <c r="A671" t="s">
        <v>57</v>
      </c>
      <c r="B671" t="s">
        <v>19</v>
      </c>
      <c r="C671" t="s">
        <v>19</v>
      </c>
      <c r="D671" t="s">
        <v>12</v>
      </c>
      <c r="E671" t="s">
        <v>66</v>
      </c>
      <c r="F671" t="s">
        <v>13</v>
      </c>
      <c r="G671" s="15">
        <v>178.6</v>
      </c>
      <c r="H671" t="s">
        <v>26</v>
      </c>
      <c r="I671">
        <v>2</v>
      </c>
      <c r="J671" t="s">
        <v>47</v>
      </c>
      <c r="K671" t="s">
        <v>45</v>
      </c>
      <c r="L671" t="s">
        <v>46</v>
      </c>
      <c r="M671" t="s">
        <v>61</v>
      </c>
      <c r="N671" s="15">
        <v>170.56</v>
      </c>
      <c r="O671" s="16">
        <v>4.7</v>
      </c>
      <c r="P671">
        <v>0</v>
      </c>
    </row>
    <row r="672" spans="1:16" x14ac:dyDescent="0.3">
      <c r="A672" t="s">
        <v>60</v>
      </c>
      <c r="B672" t="s">
        <v>18</v>
      </c>
      <c r="C672" t="s">
        <v>18</v>
      </c>
      <c r="D672" t="s">
        <v>11</v>
      </c>
      <c r="E672" t="s">
        <v>79</v>
      </c>
      <c r="F672" t="s">
        <v>9</v>
      </c>
      <c r="G672" s="15">
        <v>27.28</v>
      </c>
      <c r="H672" t="s">
        <v>26</v>
      </c>
      <c r="I672">
        <v>2</v>
      </c>
      <c r="J672" t="s">
        <v>48</v>
      </c>
      <c r="K672" t="s">
        <v>45</v>
      </c>
      <c r="L672" t="s">
        <v>45</v>
      </c>
      <c r="M672" t="s">
        <v>59</v>
      </c>
      <c r="N672" s="15">
        <v>29.14</v>
      </c>
      <c r="O672" s="16">
        <v>-6.4</v>
      </c>
      <c r="P672">
        <v>0</v>
      </c>
    </row>
    <row r="673" spans="1:16" x14ac:dyDescent="0.3">
      <c r="A673" t="s">
        <v>60</v>
      </c>
      <c r="B673" t="s">
        <v>19</v>
      </c>
      <c r="C673" t="s">
        <v>19</v>
      </c>
      <c r="D673" t="s">
        <v>8</v>
      </c>
      <c r="E673" t="s">
        <v>74</v>
      </c>
      <c r="F673" t="s">
        <v>9</v>
      </c>
      <c r="G673" s="15">
        <v>76.930000000000007</v>
      </c>
      <c r="H673" t="s">
        <v>26</v>
      </c>
      <c r="I673">
        <v>2</v>
      </c>
      <c r="J673" t="s">
        <v>47</v>
      </c>
      <c r="K673" t="s">
        <v>46</v>
      </c>
      <c r="L673" t="s">
        <v>45</v>
      </c>
      <c r="M673" t="s">
        <v>67</v>
      </c>
      <c r="N673" s="15">
        <v>78.260000000000005</v>
      </c>
      <c r="O673" s="16">
        <v>-1.7</v>
      </c>
      <c r="P673">
        <v>0</v>
      </c>
    </row>
    <row r="674" spans="1:16" x14ac:dyDescent="0.3">
      <c r="A674" t="s">
        <v>57</v>
      </c>
      <c r="B674" t="s">
        <v>20</v>
      </c>
      <c r="C674" t="s">
        <v>20</v>
      </c>
      <c r="D674" t="s">
        <v>12</v>
      </c>
      <c r="E674" t="s">
        <v>66</v>
      </c>
      <c r="F674" t="s">
        <v>13</v>
      </c>
      <c r="G674" s="15">
        <v>175.68</v>
      </c>
      <c r="H674" t="s">
        <v>27</v>
      </c>
      <c r="I674">
        <v>3</v>
      </c>
      <c r="J674" t="s">
        <v>47</v>
      </c>
      <c r="K674" t="s">
        <v>46</v>
      </c>
      <c r="L674" t="s">
        <v>45</v>
      </c>
      <c r="M674" t="s">
        <v>61</v>
      </c>
      <c r="N674" s="15">
        <v>170.56</v>
      </c>
      <c r="O674" s="16">
        <v>3</v>
      </c>
      <c r="P674">
        <v>0</v>
      </c>
    </row>
    <row r="675" spans="1:16" x14ac:dyDescent="0.3">
      <c r="A675" t="s">
        <v>57</v>
      </c>
      <c r="B675" t="s">
        <v>21</v>
      </c>
      <c r="C675" t="s">
        <v>62</v>
      </c>
      <c r="D675" t="s">
        <v>12</v>
      </c>
      <c r="E675" t="s">
        <v>66</v>
      </c>
      <c r="F675" t="s">
        <v>13</v>
      </c>
      <c r="G675" s="15">
        <v>200</v>
      </c>
      <c r="H675" t="s">
        <v>25</v>
      </c>
      <c r="I675">
        <v>1</v>
      </c>
      <c r="J675" t="s">
        <v>48</v>
      </c>
      <c r="K675" t="s">
        <v>45</v>
      </c>
      <c r="L675" t="s">
        <v>46</v>
      </c>
      <c r="M675" t="s">
        <v>61</v>
      </c>
      <c r="N675" s="15">
        <v>170.56</v>
      </c>
      <c r="O675" s="16">
        <v>17.3</v>
      </c>
      <c r="P675">
        <v>1</v>
      </c>
    </row>
    <row r="676" spans="1:16" x14ac:dyDescent="0.3">
      <c r="A676" t="s">
        <v>60</v>
      </c>
      <c r="B676" t="s">
        <v>17</v>
      </c>
      <c r="C676" t="s">
        <v>17</v>
      </c>
      <c r="D676" t="s">
        <v>10</v>
      </c>
      <c r="E676" t="s">
        <v>58</v>
      </c>
      <c r="F676" t="s">
        <v>9</v>
      </c>
      <c r="G676" s="15">
        <v>165.4</v>
      </c>
      <c r="H676" t="s">
        <v>26</v>
      </c>
      <c r="I676">
        <v>2</v>
      </c>
      <c r="J676" t="s">
        <v>48</v>
      </c>
      <c r="K676" t="s">
        <v>46</v>
      </c>
      <c r="L676" t="s">
        <v>45</v>
      </c>
      <c r="M676" t="s">
        <v>68</v>
      </c>
      <c r="N676" s="15">
        <v>152.03</v>
      </c>
      <c r="O676" s="16">
        <v>8.8000000000000007</v>
      </c>
      <c r="P676">
        <v>0</v>
      </c>
    </row>
    <row r="677" spans="1:16" x14ac:dyDescent="0.3">
      <c r="A677" t="s">
        <v>60</v>
      </c>
      <c r="B677" t="s">
        <v>20</v>
      </c>
      <c r="C677" t="s">
        <v>20</v>
      </c>
      <c r="D677" t="s">
        <v>12</v>
      </c>
      <c r="E677" t="s">
        <v>66</v>
      </c>
      <c r="F677" t="s">
        <v>13</v>
      </c>
      <c r="G677" s="15">
        <v>171.45</v>
      </c>
      <c r="H677" t="s">
        <v>27</v>
      </c>
      <c r="I677">
        <v>3</v>
      </c>
      <c r="J677" t="s">
        <v>48</v>
      </c>
      <c r="K677" t="s">
        <v>45</v>
      </c>
      <c r="L677" t="s">
        <v>45</v>
      </c>
      <c r="M677" t="s">
        <v>61</v>
      </c>
      <c r="N677" s="15">
        <v>168.34</v>
      </c>
      <c r="O677" s="16">
        <v>1.8</v>
      </c>
      <c r="P677">
        <v>0</v>
      </c>
    </row>
    <row r="678" spans="1:16" x14ac:dyDescent="0.3">
      <c r="A678" t="s">
        <v>65</v>
      </c>
      <c r="B678" t="s">
        <v>22</v>
      </c>
      <c r="C678" t="s">
        <v>22</v>
      </c>
      <c r="D678" t="s">
        <v>8</v>
      </c>
      <c r="E678" t="s">
        <v>74</v>
      </c>
      <c r="F678" t="s">
        <v>9</v>
      </c>
      <c r="G678" s="15">
        <v>89.88</v>
      </c>
      <c r="H678" t="s">
        <v>26</v>
      </c>
      <c r="I678">
        <v>2</v>
      </c>
      <c r="J678" t="s">
        <v>48</v>
      </c>
      <c r="K678" t="s">
        <v>46</v>
      </c>
      <c r="L678" t="s">
        <v>45</v>
      </c>
      <c r="M678" t="s">
        <v>72</v>
      </c>
      <c r="N678" s="15">
        <v>91.13</v>
      </c>
      <c r="O678" s="16">
        <v>-1.4</v>
      </c>
      <c r="P678">
        <v>0</v>
      </c>
    </row>
    <row r="679" spans="1:16" x14ac:dyDescent="0.3">
      <c r="A679" t="s">
        <v>60</v>
      </c>
      <c r="B679" t="s">
        <v>17</v>
      </c>
      <c r="C679" t="s">
        <v>17</v>
      </c>
      <c r="D679" t="s">
        <v>14</v>
      </c>
      <c r="E679" t="s">
        <v>77</v>
      </c>
      <c r="F679" t="s">
        <v>9</v>
      </c>
      <c r="G679" s="15">
        <v>65.319999999999993</v>
      </c>
      <c r="H679" t="s">
        <v>26</v>
      </c>
      <c r="I679">
        <v>2</v>
      </c>
      <c r="J679" t="s">
        <v>48</v>
      </c>
      <c r="K679" t="s">
        <v>45</v>
      </c>
      <c r="L679" t="s">
        <v>45</v>
      </c>
      <c r="M679" t="s">
        <v>72</v>
      </c>
      <c r="N679" s="15">
        <v>67.13</v>
      </c>
      <c r="O679" s="16">
        <v>-2.7</v>
      </c>
      <c r="P679">
        <v>0</v>
      </c>
    </row>
    <row r="680" spans="1:16" x14ac:dyDescent="0.3">
      <c r="A680" t="s">
        <v>57</v>
      </c>
      <c r="B680" t="s">
        <v>19</v>
      </c>
      <c r="C680" t="s">
        <v>19</v>
      </c>
      <c r="D680" t="s">
        <v>14</v>
      </c>
      <c r="E680" t="s">
        <v>77</v>
      </c>
      <c r="F680" t="s">
        <v>9</v>
      </c>
      <c r="G680" s="15">
        <v>56.82</v>
      </c>
      <c r="H680" t="s">
        <v>26</v>
      </c>
      <c r="I680">
        <v>2</v>
      </c>
      <c r="J680" t="s">
        <v>48</v>
      </c>
      <c r="K680" t="s">
        <v>46</v>
      </c>
      <c r="L680" t="s">
        <v>45</v>
      </c>
      <c r="M680" t="s">
        <v>68</v>
      </c>
      <c r="N680" s="15">
        <v>65.97</v>
      </c>
      <c r="O680" s="16">
        <v>-13.9</v>
      </c>
      <c r="P680">
        <v>0</v>
      </c>
    </row>
    <row r="681" spans="1:16" x14ac:dyDescent="0.3">
      <c r="A681" t="s">
        <v>65</v>
      </c>
      <c r="B681" t="s">
        <v>22</v>
      </c>
      <c r="C681" t="s">
        <v>22</v>
      </c>
      <c r="D681" t="s">
        <v>11</v>
      </c>
      <c r="E681" t="s">
        <v>70</v>
      </c>
      <c r="F681" t="s">
        <v>9</v>
      </c>
      <c r="G681" s="15">
        <v>34.61</v>
      </c>
      <c r="H681" t="s">
        <v>27</v>
      </c>
      <c r="I681">
        <v>3</v>
      </c>
      <c r="J681" t="s">
        <v>44</v>
      </c>
      <c r="K681" t="s">
        <v>45</v>
      </c>
      <c r="L681" t="s">
        <v>46</v>
      </c>
      <c r="M681" t="s">
        <v>78</v>
      </c>
      <c r="N681" s="15">
        <v>32.630000000000003</v>
      </c>
      <c r="O681" s="16">
        <v>6.1</v>
      </c>
      <c r="P681">
        <v>0</v>
      </c>
    </row>
    <row r="682" spans="1:16" x14ac:dyDescent="0.3">
      <c r="A682" t="s">
        <v>57</v>
      </c>
      <c r="B682" t="s">
        <v>20</v>
      </c>
      <c r="C682" t="s">
        <v>20</v>
      </c>
      <c r="D682" t="s">
        <v>14</v>
      </c>
      <c r="E682" t="s">
        <v>63</v>
      </c>
      <c r="F682" t="s">
        <v>9</v>
      </c>
      <c r="G682" s="15">
        <v>71.94</v>
      </c>
      <c r="H682" t="s">
        <v>26</v>
      </c>
      <c r="I682">
        <v>2</v>
      </c>
      <c r="J682" t="s">
        <v>48</v>
      </c>
      <c r="K682" t="s">
        <v>45</v>
      </c>
      <c r="L682" t="s">
        <v>45</v>
      </c>
      <c r="M682" t="s">
        <v>67</v>
      </c>
      <c r="N682" s="15">
        <v>65.16</v>
      </c>
      <c r="O682" s="16">
        <v>10.4</v>
      </c>
      <c r="P682">
        <v>0</v>
      </c>
    </row>
    <row r="683" spans="1:16" x14ac:dyDescent="0.3">
      <c r="A683" t="s">
        <v>60</v>
      </c>
      <c r="B683" t="s">
        <v>17</v>
      </c>
      <c r="C683" t="s">
        <v>17</v>
      </c>
      <c r="D683" t="s">
        <v>15</v>
      </c>
      <c r="E683" t="s">
        <v>76</v>
      </c>
      <c r="F683" t="s">
        <v>9</v>
      </c>
      <c r="G683" s="15">
        <v>121.12</v>
      </c>
      <c r="H683" t="s">
        <v>26</v>
      </c>
      <c r="I683">
        <v>2</v>
      </c>
      <c r="J683" t="s">
        <v>48</v>
      </c>
      <c r="K683" t="s">
        <v>45</v>
      </c>
      <c r="L683" t="s">
        <v>45</v>
      </c>
      <c r="M683" t="s">
        <v>78</v>
      </c>
      <c r="N683" s="15">
        <v>116.32</v>
      </c>
      <c r="O683" s="16">
        <v>4.0999999999999996</v>
      </c>
      <c r="P683">
        <v>0</v>
      </c>
    </row>
    <row r="684" spans="1:16" x14ac:dyDescent="0.3">
      <c r="A684" t="s">
        <v>57</v>
      </c>
      <c r="B684" t="s">
        <v>17</v>
      </c>
      <c r="C684" t="s">
        <v>17</v>
      </c>
      <c r="D684" t="s">
        <v>14</v>
      </c>
      <c r="E684" t="s">
        <v>71</v>
      </c>
      <c r="F684" t="s">
        <v>9</v>
      </c>
      <c r="G684" s="15">
        <v>80</v>
      </c>
      <c r="H684" t="s">
        <v>25</v>
      </c>
      <c r="I684">
        <v>1</v>
      </c>
      <c r="J684" t="s">
        <v>48</v>
      </c>
      <c r="K684" t="s">
        <v>45</v>
      </c>
      <c r="L684" t="s">
        <v>45</v>
      </c>
      <c r="M684" t="s">
        <v>68</v>
      </c>
      <c r="N684" s="15">
        <v>65.77</v>
      </c>
      <c r="O684" s="16">
        <v>21.6</v>
      </c>
      <c r="P684">
        <v>1</v>
      </c>
    </row>
    <row r="685" spans="1:16" x14ac:dyDescent="0.3">
      <c r="A685" t="s">
        <v>57</v>
      </c>
      <c r="B685" t="s">
        <v>19</v>
      </c>
      <c r="C685" t="s">
        <v>19</v>
      </c>
      <c r="D685" t="s">
        <v>11</v>
      </c>
      <c r="E685" t="s">
        <v>70</v>
      </c>
      <c r="F685" t="s">
        <v>9</v>
      </c>
      <c r="G685" s="15">
        <v>28.31</v>
      </c>
      <c r="H685" t="s">
        <v>25</v>
      </c>
      <c r="I685">
        <v>1</v>
      </c>
      <c r="J685" t="s">
        <v>48</v>
      </c>
      <c r="K685" t="s">
        <v>46</v>
      </c>
      <c r="L685" t="s">
        <v>46</v>
      </c>
      <c r="M685" t="s">
        <v>64</v>
      </c>
      <c r="N685" s="15">
        <v>30.5</v>
      </c>
      <c r="O685" s="16">
        <v>-7.2</v>
      </c>
      <c r="P685">
        <v>0</v>
      </c>
    </row>
    <row r="686" spans="1:16" x14ac:dyDescent="0.3">
      <c r="A686" t="s">
        <v>65</v>
      </c>
      <c r="B686" t="s">
        <v>21</v>
      </c>
      <c r="C686" t="s">
        <v>62</v>
      </c>
      <c r="D686" t="s">
        <v>10</v>
      </c>
      <c r="E686" t="s">
        <v>69</v>
      </c>
      <c r="F686" t="s">
        <v>9</v>
      </c>
      <c r="G686" s="15">
        <v>191.18</v>
      </c>
      <c r="H686" t="s">
        <v>26</v>
      </c>
      <c r="I686">
        <v>2</v>
      </c>
      <c r="J686" t="s">
        <v>47</v>
      </c>
      <c r="K686" t="s">
        <v>45</v>
      </c>
      <c r="L686" t="s">
        <v>46</v>
      </c>
      <c r="M686" t="s">
        <v>64</v>
      </c>
      <c r="N686" s="15">
        <v>158.91999999999999</v>
      </c>
      <c r="O686" s="16">
        <v>20.3</v>
      </c>
      <c r="P686">
        <v>1</v>
      </c>
    </row>
    <row r="687" spans="1:16" x14ac:dyDescent="0.3">
      <c r="A687" t="s">
        <v>65</v>
      </c>
      <c r="B687" t="s">
        <v>17</v>
      </c>
      <c r="C687" t="s">
        <v>17</v>
      </c>
      <c r="D687" t="s">
        <v>15</v>
      </c>
      <c r="E687" t="s">
        <v>75</v>
      </c>
      <c r="F687" t="s">
        <v>9</v>
      </c>
      <c r="G687" s="15">
        <v>140</v>
      </c>
      <c r="H687" t="s">
        <v>25</v>
      </c>
      <c r="I687">
        <v>1</v>
      </c>
      <c r="J687" t="s">
        <v>48</v>
      </c>
      <c r="K687" t="s">
        <v>45</v>
      </c>
      <c r="L687" t="s">
        <v>46</v>
      </c>
      <c r="M687" t="s">
        <v>68</v>
      </c>
      <c r="N687" s="15">
        <v>126.9</v>
      </c>
      <c r="O687" s="16">
        <v>10.3</v>
      </c>
      <c r="P687">
        <v>0</v>
      </c>
    </row>
    <row r="688" spans="1:16" x14ac:dyDescent="0.3">
      <c r="A688" t="s">
        <v>57</v>
      </c>
      <c r="B688" t="s">
        <v>17</v>
      </c>
      <c r="C688" t="s">
        <v>17</v>
      </c>
      <c r="D688" t="s">
        <v>11</v>
      </c>
      <c r="E688" t="s">
        <v>70</v>
      </c>
      <c r="F688" t="s">
        <v>9</v>
      </c>
      <c r="G688" s="15">
        <v>27.9</v>
      </c>
      <c r="H688" t="s">
        <v>26</v>
      </c>
      <c r="I688">
        <v>2</v>
      </c>
      <c r="J688" t="s">
        <v>48</v>
      </c>
      <c r="K688" t="s">
        <v>46</v>
      </c>
      <c r="L688" t="s">
        <v>46</v>
      </c>
      <c r="M688" t="s">
        <v>61</v>
      </c>
      <c r="N688" s="15">
        <v>30.5</v>
      </c>
      <c r="O688" s="16">
        <v>-8.5</v>
      </c>
      <c r="P688">
        <v>0</v>
      </c>
    </row>
    <row r="689" spans="1:16" x14ac:dyDescent="0.3">
      <c r="A689" t="s">
        <v>60</v>
      </c>
      <c r="B689" t="s">
        <v>22</v>
      </c>
      <c r="C689" t="s">
        <v>22</v>
      </c>
      <c r="D689" t="s">
        <v>12</v>
      </c>
      <c r="E689" t="s">
        <v>66</v>
      </c>
      <c r="F689" t="s">
        <v>13</v>
      </c>
      <c r="G689" s="15">
        <v>179.88</v>
      </c>
      <c r="H689" t="s">
        <v>26</v>
      </c>
      <c r="I689">
        <v>2</v>
      </c>
      <c r="J689" t="s">
        <v>47</v>
      </c>
      <c r="K689" t="s">
        <v>45</v>
      </c>
      <c r="L689" t="s">
        <v>45</v>
      </c>
      <c r="M689" t="s">
        <v>78</v>
      </c>
      <c r="N689" s="15">
        <v>168.34</v>
      </c>
      <c r="O689" s="16">
        <v>6.9</v>
      </c>
      <c r="P689">
        <v>0</v>
      </c>
    </row>
    <row r="690" spans="1:16" x14ac:dyDescent="0.3">
      <c r="A690" t="s">
        <v>57</v>
      </c>
      <c r="B690" t="s">
        <v>17</v>
      </c>
      <c r="C690" t="s">
        <v>17</v>
      </c>
      <c r="D690" t="s">
        <v>8</v>
      </c>
      <c r="E690" t="s">
        <v>73</v>
      </c>
      <c r="F690" t="s">
        <v>9</v>
      </c>
      <c r="G690" s="15">
        <v>82.22</v>
      </c>
      <c r="H690" t="s">
        <v>26</v>
      </c>
      <c r="I690">
        <v>2</v>
      </c>
      <c r="J690" t="s">
        <v>48</v>
      </c>
      <c r="K690" t="s">
        <v>45</v>
      </c>
      <c r="L690" t="s">
        <v>46</v>
      </c>
      <c r="M690" t="s">
        <v>61</v>
      </c>
      <c r="N690" s="15">
        <v>86.06</v>
      </c>
      <c r="O690" s="16">
        <v>-4.5</v>
      </c>
      <c r="P690">
        <v>0</v>
      </c>
    </row>
    <row r="691" spans="1:16" x14ac:dyDescent="0.3">
      <c r="A691" t="s">
        <v>65</v>
      </c>
      <c r="B691" t="s">
        <v>21</v>
      </c>
      <c r="C691" t="s">
        <v>62</v>
      </c>
      <c r="D691" t="s">
        <v>12</v>
      </c>
      <c r="E691" t="s">
        <v>66</v>
      </c>
      <c r="F691" t="s">
        <v>13</v>
      </c>
      <c r="G691" s="15">
        <v>187.06</v>
      </c>
      <c r="H691" t="s">
        <v>25</v>
      </c>
      <c r="I691">
        <v>1</v>
      </c>
      <c r="J691" t="s">
        <v>44</v>
      </c>
      <c r="K691" t="s">
        <v>45</v>
      </c>
      <c r="L691" t="s">
        <v>45</v>
      </c>
      <c r="M691" t="s">
        <v>68</v>
      </c>
      <c r="N691" s="15">
        <v>178.49</v>
      </c>
      <c r="O691" s="16">
        <v>4.8</v>
      </c>
      <c r="P691">
        <v>0</v>
      </c>
    </row>
    <row r="692" spans="1:16" x14ac:dyDescent="0.3">
      <c r="A692" t="s">
        <v>65</v>
      </c>
      <c r="B692" t="s">
        <v>19</v>
      </c>
      <c r="C692" t="s">
        <v>19</v>
      </c>
      <c r="D692" t="s">
        <v>15</v>
      </c>
      <c r="E692" t="s">
        <v>76</v>
      </c>
      <c r="F692" t="s">
        <v>9</v>
      </c>
      <c r="G692" s="15">
        <v>126.32</v>
      </c>
      <c r="H692" t="s">
        <v>25</v>
      </c>
      <c r="I692">
        <v>1</v>
      </c>
      <c r="J692" t="s">
        <v>47</v>
      </c>
      <c r="K692" t="s">
        <v>45</v>
      </c>
      <c r="L692" t="s">
        <v>45</v>
      </c>
      <c r="M692" t="s">
        <v>59</v>
      </c>
      <c r="N692" s="15">
        <v>126.51</v>
      </c>
      <c r="O692" s="16">
        <v>-0.2</v>
      </c>
      <c r="P692">
        <v>0</v>
      </c>
    </row>
    <row r="693" spans="1:16" x14ac:dyDescent="0.3">
      <c r="A693" t="s">
        <v>65</v>
      </c>
      <c r="B693" t="s">
        <v>17</v>
      </c>
      <c r="C693" t="s">
        <v>17</v>
      </c>
      <c r="D693" t="s">
        <v>12</v>
      </c>
      <c r="E693" t="s">
        <v>66</v>
      </c>
      <c r="F693" t="s">
        <v>13</v>
      </c>
      <c r="G693" s="15">
        <v>198.82</v>
      </c>
      <c r="H693" t="s">
        <v>26</v>
      </c>
      <c r="I693">
        <v>2</v>
      </c>
      <c r="J693" t="s">
        <v>47</v>
      </c>
      <c r="K693" t="s">
        <v>45</v>
      </c>
      <c r="L693" t="s">
        <v>46</v>
      </c>
      <c r="M693" t="s">
        <v>64</v>
      </c>
      <c r="N693" s="15">
        <v>178.49</v>
      </c>
      <c r="O693" s="16">
        <v>11.4</v>
      </c>
      <c r="P693">
        <v>0</v>
      </c>
    </row>
    <row r="694" spans="1:16" x14ac:dyDescent="0.3">
      <c r="A694" t="s">
        <v>57</v>
      </c>
      <c r="B694" t="s">
        <v>18</v>
      </c>
      <c r="C694" t="s">
        <v>18</v>
      </c>
      <c r="D694" t="s">
        <v>10</v>
      </c>
      <c r="E694" t="s">
        <v>58</v>
      </c>
      <c r="F694" t="s">
        <v>9</v>
      </c>
      <c r="G694" s="15">
        <v>135.07</v>
      </c>
      <c r="H694" t="s">
        <v>27</v>
      </c>
      <c r="I694">
        <v>3</v>
      </c>
      <c r="J694" t="s">
        <v>47</v>
      </c>
      <c r="K694" t="s">
        <v>46</v>
      </c>
      <c r="L694" t="s">
        <v>45</v>
      </c>
      <c r="M694" t="s">
        <v>72</v>
      </c>
      <c r="N694" s="15">
        <v>151.19</v>
      </c>
      <c r="O694" s="16">
        <v>-10.7</v>
      </c>
      <c r="P694">
        <v>0</v>
      </c>
    </row>
    <row r="695" spans="1:16" x14ac:dyDescent="0.3">
      <c r="A695" t="s">
        <v>60</v>
      </c>
      <c r="B695" t="s">
        <v>21</v>
      </c>
      <c r="C695" t="s">
        <v>62</v>
      </c>
      <c r="D695" t="s">
        <v>11</v>
      </c>
      <c r="E695" t="s">
        <v>70</v>
      </c>
      <c r="F695" t="s">
        <v>9</v>
      </c>
      <c r="G695" s="15">
        <v>30</v>
      </c>
      <c r="H695" t="s">
        <v>26</v>
      </c>
      <c r="I695">
        <v>2</v>
      </c>
      <c r="J695" t="s">
        <v>48</v>
      </c>
      <c r="K695" t="s">
        <v>45</v>
      </c>
      <c r="L695" t="s">
        <v>45</v>
      </c>
      <c r="M695" t="s">
        <v>61</v>
      </c>
      <c r="N695" s="15">
        <v>31.4</v>
      </c>
      <c r="O695" s="16">
        <v>-4.5</v>
      </c>
      <c r="P695">
        <v>0</v>
      </c>
    </row>
    <row r="696" spans="1:16" x14ac:dyDescent="0.3">
      <c r="A696" t="s">
        <v>57</v>
      </c>
      <c r="B696" t="s">
        <v>18</v>
      </c>
      <c r="C696" t="s">
        <v>18</v>
      </c>
      <c r="D696" t="s">
        <v>8</v>
      </c>
      <c r="E696" t="s">
        <v>74</v>
      </c>
      <c r="F696" t="s">
        <v>9</v>
      </c>
      <c r="G696" s="15">
        <v>82.53</v>
      </c>
      <c r="H696" t="s">
        <v>26</v>
      </c>
      <c r="I696">
        <v>2</v>
      </c>
      <c r="J696" t="s">
        <v>47</v>
      </c>
      <c r="K696" t="s">
        <v>45</v>
      </c>
      <c r="L696" t="s">
        <v>45</v>
      </c>
      <c r="M696" t="s">
        <v>68</v>
      </c>
      <c r="N696" s="15">
        <v>83.41</v>
      </c>
      <c r="O696" s="16">
        <v>-1.1000000000000001</v>
      </c>
      <c r="P696">
        <v>0</v>
      </c>
    </row>
    <row r="697" spans="1:16" x14ac:dyDescent="0.3">
      <c r="A697" t="s">
        <v>60</v>
      </c>
      <c r="B697" t="s">
        <v>18</v>
      </c>
      <c r="C697" t="s">
        <v>18</v>
      </c>
      <c r="D697" t="s">
        <v>10</v>
      </c>
      <c r="E697" t="s">
        <v>58</v>
      </c>
      <c r="F697" t="s">
        <v>9</v>
      </c>
      <c r="G697" s="15">
        <v>136.61000000000001</v>
      </c>
      <c r="H697" t="s">
        <v>26</v>
      </c>
      <c r="I697">
        <v>2</v>
      </c>
      <c r="J697" t="s">
        <v>48</v>
      </c>
      <c r="K697" t="s">
        <v>46</v>
      </c>
      <c r="L697" t="s">
        <v>45</v>
      </c>
      <c r="M697" t="s">
        <v>59</v>
      </c>
      <c r="N697" s="15">
        <v>152.03</v>
      </c>
      <c r="O697" s="16">
        <v>-10.1</v>
      </c>
      <c r="P697">
        <v>0</v>
      </c>
    </row>
    <row r="698" spans="1:16" x14ac:dyDescent="0.3">
      <c r="A698" t="s">
        <v>57</v>
      </c>
      <c r="B698" t="s">
        <v>21</v>
      </c>
      <c r="C698" t="s">
        <v>62</v>
      </c>
      <c r="D698" t="s">
        <v>8</v>
      </c>
      <c r="E698" t="s">
        <v>74</v>
      </c>
      <c r="F698" t="s">
        <v>9</v>
      </c>
      <c r="G698" s="15">
        <v>87.16</v>
      </c>
      <c r="H698" t="s">
        <v>25</v>
      </c>
      <c r="I698">
        <v>1</v>
      </c>
      <c r="J698" t="s">
        <v>47</v>
      </c>
      <c r="K698" t="s">
        <v>45</v>
      </c>
      <c r="L698" t="s">
        <v>45</v>
      </c>
      <c r="M698" t="s">
        <v>72</v>
      </c>
      <c r="N698" s="15">
        <v>83.41</v>
      </c>
      <c r="O698" s="16">
        <v>4.5</v>
      </c>
      <c r="P698">
        <v>0</v>
      </c>
    </row>
    <row r="699" spans="1:16" x14ac:dyDescent="0.3">
      <c r="A699" t="s">
        <v>65</v>
      </c>
      <c r="B699" t="s">
        <v>22</v>
      </c>
      <c r="C699" t="s">
        <v>22</v>
      </c>
      <c r="D699" t="s">
        <v>12</v>
      </c>
      <c r="E699" t="s">
        <v>66</v>
      </c>
      <c r="F699" t="s">
        <v>13</v>
      </c>
      <c r="G699" s="15">
        <v>174.91</v>
      </c>
      <c r="H699" t="s">
        <v>26</v>
      </c>
      <c r="I699">
        <v>2</v>
      </c>
      <c r="J699" t="s">
        <v>47</v>
      </c>
      <c r="K699" t="s">
        <v>45</v>
      </c>
      <c r="L699" t="s">
        <v>46</v>
      </c>
      <c r="M699" t="s">
        <v>72</v>
      </c>
      <c r="N699" s="15">
        <v>178.49</v>
      </c>
      <c r="O699" s="16">
        <v>-2</v>
      </c>
      <c r="P699">
        <v>0</v>
      </c>
    </row>
    <row r="700" spans="1:16" x14ac:dyDescent="0.3">
      <c r="A700" t="s">
        <v>57</v>
      </c>
      <c r="B700" t="s">
        <v>18</v>
      </c>
      <c r="C700" t="s">
        <v>18</v>
      </c>
      <c r="D700" t="s">
        <v>12</v>
      </c>
      <c r="E700" t="s">
        <v>66</v>
      </c>
      <c r="F700" t="s">
        <v>13</v>
      </c>
      <c r="G700" s="15">
        <v>174.03</v>
      </c>
      <c r="H700" t="s">
        <v>27</v>
      </c>
      <c r="I700">
        <v>3</v>
      </c>
      <c r="J700" t="s">
        <v>47</v>
      </c>
      <c r="K700" t="s">
        <v>45</v>
      </c>
      <c r="L700" t="s">
        <v>46</v>
      </c>
      <c r="M700" t="s">
        <v>61</v>
      </c>
      <c r="N700" s="15">
        <v>170.56</v>
      </c>
      <c r="O700" s="16">
        <v>2</v>
      </c>
      <c r="P700">
        <v>0</v>
      </c>
    </row>
    <row r="701" spans="1:16" x14ac:dyDescent="0.3">
      <c r="A701" t="s">
        <v>60</v>
      </c>
      <c r="B701" t="s">
        <v>17</v>
      </c>
      <c r="C701" t="s">
        <v>17</v>
      </c>
      <c r="D701" t="s">
        <v>8</v>
      </c>
      <c r="E701" t="s">
        <v>73</v>
      </c>
      <c r="F701" t="s">
        <v>9</v>
      </c>
      <c r="G701" s="15">
        <v>82.04</v>
      </c>
      <c r="H701" t="s">
        <v>26</v>
      </c>
      <c r="I701">
        <v>2</v>
      </c>
      <c r="J701" t="s">
        <v>48</v>
      </c>
      <c r="K701" t="s">
        <v>45</v>
      </c>
      <c r="L701" t="s">
        <v>45</v>
      </c>
      <c r="M701" t="s">
        <v>72</v>
      </c>
      <c r="N701" s="15">
        <v>82.04</v>
      </c>
      <c r="O701" s="16">
        <v>0</v>
      </c>
      <c r="P701">
        <v>0</v>
      </c>
    </row>
    <row r="702" spans="1:16" x14ac:dyDescent="0.3">
      <c r="A702" t="s">
        <v>57</v>
      </c>
      <c r="B702" t="s">
        <v>17</v>
      </c>
      <c r="C702" t="s">
        <v>17</v>
      </c>
      <c r="D702" t="s">
        <v>14</v>
      </c>
      <c r="E702" t="s">
        <v>71</v>
      </c>
      <c r="F702" t="s">
        <v>9</v>
      </c>
      <c r="G702" s="15">
        <v>64.47</v>
      </c>
      <c r="H702" t="s">
        <v>26</v>
      </c>
      <c r="I702">
        <v>2</v>
      </c>
      <c r="J702" t="s">
        <v>48</v>
      </c>
      <c r="K702" t="s">
        <v>46</v>
      </c>
      <c r="L702" t="s">
        <v>45</v>
      </c>
      <c r="M702" t="s">
        <v>78</v>
      </c>
      <c r="N702" s="15">
        <v>65.77</v>
      </c>
      <c r="O702" s="16">
        <v>-2</v>
      </c>
      <c r="P702">
        <v>0</v>
      </c>
    </row>
    <row r="703" spans="1:16" x14ac:dyDescent="0.3">
      <c r="A703" t="s">
        <v>65</v>
      </c>
      <c r="B703" t="s">
        <v>22</v>
      </c>
      <c r="C703" t="s">
        <v>22</v>
      </c>
      <c r="D703" t="s">
        <v>8</v>
      </c>
      <c r="E703" t="s">
        <v>73</v>
      </c>
      <c r="F703" t="s">
        <v>9</v>
      </c>
      <c r="G703" s="15">
        <v>94.09</v>
      </c>
      <c r="H703" t="s">
        <v>26</v>
      </c>
      <c r="I703">
        <v>2</v>
      </c>
      <c r="J703" t="s">
        <v>48</v>
      </c>
      <c r="K703" t="s">
        <v>45</v>
      </c>
      <c r="L703" t="s">
        <v>45</v>
      </c>
      <c r="M703" t="s">
        <v>78</v>
      </c>
      <c r="N703" s="15">
        <v>88.05</v>
      </c>
      <c r="O703" s="16">
        <v>6.9</v>
      </c>
      <c r="P703">
        <v>0</v>
      </c>
    </row>
    <row r="704" spans="1:16" x14ac:dyDescent="0.3">
      <c r="A704" t="s">
        <v>60</v>
      </c>
      <c r="B704" t="s">
        <v>17</v>
      </c>
      <c r="C704" t="s">
        <v>17</v>
      </c>
      <c r="D704" t="s">
        <v>8</v>
      </c>
      <c r="E704" t="s">
        <v>74</v>
      </c>
      <c r="F704" t="s">
        <v>9</v>
      </c>
      <c r="G704" s="15">
        <v>72.23</v>
      </c>
      <c r="H704" t="s">
        <v>25</v>
      </c>
      <c r="I704">
        <v>1</v>
      </c>
      <c r="J704" t="s">
        <v>47</v>
      </c>
      <c r="K704" t="s">
        <v>46</v>
      </c>
      <c r="L704" t="s">
        <v>45</v>
      </c>
      <c r="M704" t="s">
        <v>67</v>
      </c>
      <c r="N704" s="15">
        <v>78.260000000000005</v>
      </c>
      <c r="O704" s="16">
        <v>-7.7</v>
      </c>
      <c r="P704">
        <v>0</v>
      </c>
    </row>
    <row r="705" spans="1:16" x14ac:dyDescent="0.3">
      <c r="A705" t="s">
        <v>57</v>
      </c>
      <c r="B705" t="s">
        <v>22</v>
      </c>
      <c r="C705" t="s">
        <v>22</v>
      </c>
      <c r="D705" t="s">
        <v>11</v>
      </c>
      <c r="E705" t="s">
        <v>79</v>
      </c>
      <c r="F705" t="s">
        <v>9</v>
      </c>
      <c r="G705" s="15">
        <v>36.159999999999997</v>
      </c>
      <c r="H705" t="s">
        <v>27</v>
      </c>
      <c r="I705">
        <v>3</v>
      </c>
      <c r="J705" t="s">
        <v>44</v>
      </c>
      <c r="K705" t="s">
        <v>46</v>
      </c>
      <c r="L705" t="s">
        <v>45</v>
      </c>
      <c r="M705" t="s">
        <v>59</v>
      </c>
      <c r="N705" s="15">
        <v>30.93</v>
      </c>
      <c r="O705" s="16">
        <v>16.899999999999999</v>
      </c>
      <c r="P705">
        <v>1</v>
      </c>
    </row>
    <row r="706" spans="1:16" x14ac:dyDescent="0.3">
      <c r="A706" t="s">
        <v>60</v>
      </c>
      <c r="B706" t="s">
        <v>17</v>
      </c>
      <c r="C706" t="s">
        <v>17</v>
      </c>
      <c r="D706" t="s">
        <v>14</v>
      </c>
      <c r="E706" t="s">
        <v>71</v>
      </c>
      <c r="F706" t="s">
        <v>9</v>
      </c>
      <c r="G706" s="15">
        <v>71.599999999999994</v>
      </c>
      <c r="H706" t="s">
        <v>26</v>
      </c>
      <c r="I706">
        <v>2</v>
      </c>
      <c r="J706" t="s">
        <v>47</v>
      </c>
      <c r="K706" t="s">
        <v>45</v>
      </c>
      <c r="L706" t="s">
        <v>45</v>
      </c>
      <c r="M706" t="s">
        <v>67</v>
      </c>
      <c r="N706" s="15">
        <v>65.239999999999995</v>
      </c>
      <c r="O706" s="16">
        <v>9.6999999999999993</v>
      </c>
      <c r="P706">
        <v>0</v>
      </c>
    </row>
    <row r="707" spans="1:16" x14ac:dyDescent="0.3">
      <c r="A707" t="s">
        <v>57</v>
      </c>
      <c r="B707" t="s">
        <v>18</v>
      </c>
      <c r="C707" t="s">
        <v>18</v>
      </c>
      <c r="D707" t="s">
        <v>14</v>
      </c>
      <c r="E707" t="s">
        <v>63</v>
      </c>
      <c r="F707" t="s">
        <v>9</v>
      </c>
      <c r="G707" s="15">
        <v>77.98</v>
      </c>
      <c r="H707" t="s">
        <v>26</v>
      </c>
      <c r="I707">
        <v>2</v>
      </c>
      <c r="J707" t="s">
        <v>48</v>
      </c>
      <c r="K707" t="s">
        <v>45</v>
      </c>
      <c r="L707" t="s">
        <v>46</v>
      </c>
      <c r="M707" t="s">
        <v>61</v>
      </c>
      <c r="N707" s="15">
        <v>65.16</v>
      </c>
      <c r="O707" s="16">
        <v>19.7</v>
      </c>
      <c r="P707">
        <v>1</v>
      </c>
    </row>
    <row r="708" spans="1:16" x14ac:dyDescent="0.3">
      <c r="A708" t="s">
        <v>57</v>
      </c>
      <c r="B708" t="s">
        <v>17</v>
      </c>
      <c r="C708" t="s">
        <v>17</v>
      </c>
      <c r="D708" t="s">
        <v>10</v>
      </c>
      <c r="E708" t="s">
        <v>58</v>
      </c>
      <c r="F708" t="s">
        <v>9</v>
      </c>
      <c r="G708" s="15">
        <v>169.6</v>
      </c>
      <c r="H708" t="s">
        <v>26</v>
      </c>
      <c r="I708">
        <v>2</v>
      </c>
      <c r="J708" t="s">
        <v>48</v>
      </c>
      <c r="K708" t="s">
        <v>45</v>
      </c>
      <c r="L708" t="s">
        <v>45</v>
      </c>
      <c r="M708" t="s">
        <v>64</v>
      </c>
      <c r="N708" s="15">
        <v>151.19</v>
      </c>
      <c r="O708" s="16">
        <v>12.2</v>
      </c>
      <c r="P708">
        <v>0</v>
      </c>
    </row>
    <row r="709" spans="1:16" x14ac:dyDescent="0.3">
      <c r="A709" t="s">
        <v>65</v>
      </c>
      <c r="B709" t="s">
        <v>19</v>
      </c>
      <c r="C709" t="s">
        <v>19</v>
      </c>
      <c r="D709" t="s">
        <v>14</v>
      </c>
      <c r="E709" t="s">
        <v>71</v>
      </c>
      <c r="F709" t="s">
        <v>9</v>
      </c>
      <c r="G709" s="15">
        <v>61</v>
      </c>
      <c r="H709" t="s">
        <v>26</v>
      </c>
      <c r="I709">
        <v>2</v>
      </c>
      <c r="J709" t="s">
        <v>47</v>
      </c>
      <c r="K709" t="s">
        <v>46</v>
      </c>
      <c r="L709" t="s">
        <v>46</v>
      </c>
      <c r="M709" t="s">
        <v>72</v>
      </c>
      <c r="N709" s="15">
        <v>71.77</v>
      </c>
      <c r="O709" s="16">
        <v>-15</v>
      </c>
      <c r="P709">
        <v>0</v>
      </c>
    </row>
    <row r="710" spans="1:16" x14ac:dyDescent="0.3">
      <c r="A710" t="s">
        <v>65</v>
      </c>
      <c r="B710" t="s">
        <v>21</v>
      </c>
      <c r="C710" t="s">
        <v>62</v>
      </c>
      <c r="D710" t="s">
        <v>10</v>
      </c>
      <c r="E710" t="s">
        <v>69</v>
      </c>
      <c r="F710" t="s">
        <v>9</v>
      </c>
      <c r="G710" s="15">
        <v>141.69</v>
      </c>
      <c r="H710" t="s">
        <v>27</v>
      </c>
      <c r="I710">
        <v>3</v>
      </c>
      <c r="J710" t="s">
        <v>47</v>
      </c>
      <c r="K710" t="s">
        <v>45</v>
      </c>
      <c r="L710" t="s">
        <v>46</v>
      </c>
      <c r="M710" t="s">
        <v>78</v>
      </c>
      <c r="N710" s="15">
        <v>158.91999999999999</v>
      </c>
      <c r="O710" s="16">
        <v>-10.8</v>
      </c>
      <c r="P710">
        <v>0</v>
      </c>
    </row>
    <row r="711" spans="1:16" x14ac:dyDescent="0.3">
      <c r="A711" t="s">
        <v>57</v>
      </c>
      <c r="B711" t="s">
        <v>17</v>
      </c>
      <c r="C711" t="s">
        <v>17</v>
      </c>
      <c r="D711" t="s">
        <v>15</v>
      </c>
      <c r="E711" t="s">
        <v>75</v>
      </c>
      <c r="F711" t="s">
        <v>9</v>
      </c>
      <c r="G711" s="15">
        <v>101.51</v>
      </c>
      <c r="H711" t="s">
        <v>26</v>
      </c>
      <c r="I711">
        <v>2</v>
      </c>
      <c r="J711" t="s">
        <v>48</v>
      </c>
      <c r="K711" t="s">
        <v>46</v>
      </c>
      <c r="L711" t="s">
        <v>45</v>
      </c>
      <c r="M711" t="s">
        <v>64</v>
      </c>
      <c r="N711" s="15">
        <v>120.06</v>
      </c>
      <c r="O711" s="16">
        <v>-15.5</v>
      </c>
      <c r="P711">
        <v>0</v>
      </c>
    </row>
    <row r="712" spans="1:16" x14ac:dyDescent="0.3">
      <c r="A712" t="s">
        <v>60</v>
      </c>
      <c r="B712" t="s">
        <v>22</v>
      </c>
      <c r="C712" t="s">
        <v>22</v>
      </c>
      <c r="D712" t="s">
        <v>12</v>
      </c>
      <c r="E712" t="s">
        <v>80</v>
      </c>
      <c r="F712" t="s">
        <v>13</v>
      </c>
      <c r="G712" s="15">
        <v>167.63</v>
      </c>
      <c r="H712" t="s">
        <v>26</v>
      </c>
      <c r="I712">
        <v>2</v>
      </c>
      <c r="J712" t="s">
        <v>48</v>
      </c>
      <c r="K712" t="s">
        <v>45</v>
      </c>
      <c r="L712" t="s">
        <v>45</v>
      </c>
      <c r="M712" t="s">
        <v>64</v>
      </c>
      <c r="N712" s="15">
        <v>167.63</v>
      </c>
      <c r="O712" s="16">
        <v>0</v>
      </c>
      <c r="P712">
        <v>0</v>
      </c>
    </row>
    <row r="713" spans="1:16" x14ac:dyDescent="0.3">
      <c r="A713" t="s">
        <v>65</v>
      </c>
      <c r="B713" t="s">
        <v>19</v>
      </c>
      <c r="C713" t="s">
        <v>19</v>
      </c>
      <c r="D713" t="s">
        <v>11</v>
      </c>
      <c r="E713" t="s">
        <v>70</v>
      </c>
      <c r="F713" t="s">
        <v>9</v>
      </c>
      <c r="G713" s="15">
        <v>35.82</v>
      </c>
      <c r="H713" t="s">
        <v>25</v>
      </c>
      <c r="I713">
        <v>1</v>
      </c>
      <c r="J713" t="s">
        <v>48</v>
      </c>
      <c r="K713" t="s">
        <v>46</v>
      </c>
      <c r="L713" t="s">
        <v>46</v>
      </c>
      <c r="M713" t="s">
        <v>78</v>
      </c>
      <c r="N713" s="15">
        <v>32.630000000000003</v>
      </c>
      <c r="O713" s="16">
        <v>9.8000000000000007</v>
      </c>
      <c r="P713">
        <v>0</v>
      </c>
    </row>
    <row r="714" spans="1:16" x14ac:dyDescent="0.3">
      <c r="A714" t="s">
        <v>65</v>
      </c>
      <c r="B714" t="s">
        <v>20</v>
      </c>
      <c r="C714" t="s">
        <v>20</v>
      </c>
      <c r="D714" t="s">
        <v>14</v>
      </c>
      <c r="E714" t="s">
        <v>63</v>
      </c>
      <c r="F714" t="s">
        <v>9</v>
      </c>
      <c r="G714" s="15">
        <v>63.53</v>
      </c>
      <c r="H714" t="s">
        <v>26</v>
      </c>
      <c r="I714">
        <v>2</v>
      </c>
      <c r="J714" t="s">
        <v>47</v>
      </c>
      <c r="K714" t="s">
        <v>45</v>
      </c>
      <c r="L714" t="s">
        <v>45</v>
      </c>
      <c r="M714" t="s">
        <v>61</v>
      </c>
      <c r="N714" s="15">
        <v>68.150000000000006</v>
      </c>
      <c r="O714" s="16">
        <v>-6.8</v>
      </c>
      <c r="P714">
        <v>0</v>
      </c>
    </row>
    <row r="715" spans="1:16" x14ac:dyDescent="0.3">
      <c r="A715" t="s">
        <v>57</v>
      </c>
      <c r="B715" t="s">
        <v>22</v>
      </c>
      <c r="C715" t="s">
        <v>22</v>
      </c>
      <c r="D715" t="s">
        <v>12</v>
      </c>
      <c r="E715" t="s">
        <v>66</v>
      </c>
      <c r="F715" t="s">
        <v>13</v>
      </c>
      <c r="G715" s="15">
        <v>158.35</v>
      </c>
      <c r="H715" t="s">
        <v>26</v>
      </c>
      <c r="I715">
        <v>2</v>
      </c>
      <c r="J715" t="s">
        <v>48</v>
      </c>
      <c r="K715" t="s">
        <v>46</v>
      </c>
      <c r="L715" t="s">
        <v>45</v>
      </c>
      <c r="M715" t="s">
        <v>78</v>
      </c>
      <c r="N715" s="15">
        <v>170.56</v>
      </c>
      <c r="O715" s="16">
        <v>-7.2</v>
      </c>
      <c r="P715">
        <v>0</v>
      </c>
    </row>
    <row r="716" spans="1:16" x14ac:dyDescent="0.3">
      <c r="A716" t="s">
        <v>57</v>
      </c>
      <c r="B716" t="s">
        <v>22</v>
      </c>
      <c r="C716" t="s">
        <v>22</v>
      </c>
      <c r="D716" t="s">
        <v>11</v>
      </c>
      <c r="E716" t="s">
        <v>79</v>
      </c>
      <c r="F716" t="s">
        <v>9</v>
      </c>
      <c r="G716" s="15">
        <v>33.93</v>
      </c>
      <c r="H716" t="s">
        <v>25</v>
      </c>
      <c r="I716">
        <v>1</v>
      </c>
      <c r="J716" t="s">
        <v>48</v>
      </c>
      <c r="K716" t="s">
        <v>45</v>
      </c>
      <c r="L716" t="s">
        <v>46</v>
      </c>
      <c r="M716" t="s">
        <v>67</v>
      </c>
      <c r="N716" s="15">
        <v>30.93</v>
      </c>
      <c r="O716" s="16">
        <v>9.6999999999999993</v>
      </c>
      <c r="P716">
        <v>0</v>
      </c>
    </row>
    <row r="717" spans="1:16" x14ac:dyDescent="0.3">
      <c r="A717" t="s">
        <v>57</v>
      </c>
      <c r="B717" t="s">
        <v>21</v>
      </c>
      <c r="C717" t="s">
        <v>62</v>
      </c>
      <c r="D717" t="s">
        <v>14</v>
      </c>
      <c r="E717" t="s">
        <v>71</v>
      </c>
      <c r="F717" t="s">
        <v>9</v>
      </c>
      <c r="G717" s="15">
        <v>73.16</v>
      </c>
      <c r="H717" t="s">
        <v>25</v>
      </c>
      <c r="I717">
        <v>1</v>
      </c>
      <c r="J717" t="s">
        <v>48</v>
      </c>
      <c r="K717" t="s">
        <v>45</v>
      </c>
      <c r="L717" t="s">
        <v>45</v>
      </c>
      <c r="M717" t="s">
        <v>59</v>
      </c>
      <c r="N717" s="15">
        <v>65.77</v>
      </c>
      <c r="O717" s="16">
        <v>11.2</v>
      </c>
      <c r="P717">
        <v>0</v>
      </c>
    </row>
    <row r="718" spans="1:16" x14ac:dyDescent="0.3">
      <c r="A718" t="s">
        <v>60</v>
      </c>
      <c r="B718" t="s">
        <v>21</v>
      </c>
      <c r="C718" t="s">
        <v>62</v>
      </c>
      <c r="D718" t="s">
        <v>11</v>
      </c>
      <c r="E718" t="s">
        <v>79</v>
      </c>
      <c r="F718" t="s">
        <v>9</v>
      </c>
      <c r="G718" s="15">
        <v>28.8</v>
      </c>
      <c r="H718" t="s">
        <v>26</v>
      </c>
      <c r="I718">
        <v>2</v>
      </c>
      <c r="J718" t="s">
        <v>47</v>
      </c>
      <c r="K718" t="s">
        <v>46</v>
      </c>
      <c r="L718" t="s">
        <v>45</v>
      </c>
      <c r="M718" t="s">
        <v>67</v>
      </c>
      <c r="N718" s="15">
        <v>29.14</v>
      </c>
      <c r="O718" s="16">
        <v>-1.2</v>
      </c>
      <c r="P718">
        <v>0</v>
      </c>
    </row>
    <row r="719" spans="1:16" x14ac:dyDescent="0.3">
      <c r="A719" t="s">
        <v>57</v>
      </c>
      <c r="B719" t="s">
        <v>22</v>
      </c>
      <c r="C719" t="s">
        <v>22</v>
      </c>
      <c r="D719" t="s">
        <v>11</v>
      </c>
      <c r="E719" t="s">
        <v>70</v>
      </c>
      <c r="F719" t="s">
        <v>9</v>
      </c>
      <c r="G719" s="15">
        <v>30.06</v>
      </c>
      <c r="H719" t="s">
        <v>27</v>
      </c>
      <c r="I719">
        <v>3</v>
      </c>
      <c r="J719" t="s">
        <v>48</v>
      </c>
      <c r="K719" t="s">
        <v>45</v>
      </c>
      <c r="L719" t="s">
        <v>45</v>
      </c>
      <c r="M719" t="s">
        <v>78</v>
      </c>
      <c r="N719" s="15">
        <v>30.5</v>
      </c>
      <c r="O719" s="16">
        <v>-1.4</v>
      </c>
      <c r="P719">
        <v>0</v>
      </c>
    </row>
    <row r="720" spans="1:16" x14ac:dyDescent="0.3">
      <c r="A720" t="s">
        <v>65</v>
      </c>
      <c r="B720" t="s">
        <v>17</v>
      </c>
      <c r="C720" t="s">
        <v>17</v>
      </c>
      <c r="D720" t="s">
        <v>14</v>
      </c>
      <c r="E720" t="s">
        <v>63</v>
      </c>
      <c r="F720" t="s">
        <v>9</v>
      </c>
      <c r="G720" s="15">
        <v>56.77</v>
      </c>
      <c r="H720" t="s">
        <v>26</v>
      </c>
      <c r="I720">
        <v>2</v>
      </c>
      <c r="J720" t="s">
        <v>48</v>
      </c>
      <c r="K720" t="s">
        <v>46</v>
      </c>
      <c r="L720" t="s">
        <v>45</v>
      </c>
      <c r="M720" t="s">
        <v>64</v>
      </c>
      <c r="N720" s="15">
        <v>68.150000000000006</v>
      </c>
      <c r="O720" s="16">
        <v>-16.7</v>
      </c>
      <c r="P720">
        <v>0</v>
      </c>
    </row>
    <row r="721" spans="1:16" x14ac:dyDescent="0.3">
      <c r="A721" t="s">
        <v>60</v>
      </c>
      <c r="B721" t="s">
        <v>21</v>
      </c>
      <c r="C721" t="s">
        <v>62</v>
      </c>
      <c r="D721" t="s">
        <v>12</v>
      </c>
      <c r="E721" t="s">
        <v>66</v>
      </c>
      <c r="F721" t="s">
        <v>13</v>
      </c>
      <c r="G721" s="15">
        <v>200</v>
      </c>
      <c r="H721" t="s">
        <v>25</v>
      </c>
      <c r="I721">
        <v>1</v>
      </c>
      <c r="J721" t="s">
        <v>47</v>
      </c>
      <c r="K721" t="s">
        <v>45</v>
      </c>
      <c r="L721" t="s">
        <v>45</v>
      </c>
      <c r="M721" t="s">
        <v>64</v>
      </c>
      <c r="N721" s="15">
        <v>168.34</v>
      </c>
      <c r="O721" s="16">
        <v>18.8</v>
      </c>
      <c r="P721">
        <v>1</v>
      </c>
    </row>
    <row r="722" spans="1:16" x14ac:dyDescent="0.3">
      <c r="A722" t="s">
        <v>57</v>
      </c>
      <c r="B722" t="s">
        <v>17</v>
      </c>
      <c r="C722" t="s">
        <v>17</v>
      </c>
      <c r="D722" t="s">
        <v>10</v>
      </c>
      <c r="E722" t="s">
        <v>58</v>
      </c>
      <c r="F722" t="s">
        <v>9</v>
      </c>
      <c r="G722" s="15">
        <v>144.97</v>
      </c>
      <c r="H722" t="s">
        <v>27</v>
      </c>
      <c r="I722">
        <v>3</v>
      </c>
      <c r="J722" t="s">
        <v>48</v>
      </c>
      <c r="K722" t="s">
        <v>45</v>
      </c>
      <c r="L722" t="s">
        <v>45</v>
      </c>
      <c r="M722" t="s">
        <v>72</v>
      </c>
      <c r="N722" s="15">
        <v>151.19</v>
      </c>
      <c r="O722" s="16">
        <v>-4.0999999999999996</v>
      </c>
      <c r="P722">
        <v>0</v>
      </c>
    </row>
    <row r="723" spans="1:16" x14ac:dyDescent="0.3">
      <c r="A723" t="s">
        <v>57</v>
      </c>
      <c r="B723" t="s">
        <v>20</v>
      </c>
      <c r="C723" t="s">
        <v>20</v>
      </c>
      <c r="D723" t="s">
        <v>15</v>
      </c>
      <c r="E723" t="s">
        <v>75</v>
      </c>
      <c r="F723" t="s">
        <v>9</v>
      </c>
      <c r="G723" s="15">
        <v>108.3</v>
      </c>
      <c r="H723" t="s">
        <v>26</v>
      </c>
      <c r="I723">
        <v>2</v>
      </c>
      <c r="J723" t="s">
        <v>47</v>
      </c>
      <c r="K723" t="s">
        <v>45</v>
      </c>
      <c r="L723" t="s">
        <v>45</v>
      </c>
      <c r="M723" t="s">
        <v>68</v>
      </c>
      <c r="N723" s="15">
        <v>120.06</v>
      </c>
      <c r="O723" s="16">
        <v>-9.8000000000000007</v>
      </c>
      <c r="P723">
        <v>0</v>
      </c>
    </row>
    <row r="724" spans="1:16" x14ac:dyDescent="0.3">
      <c r="A724" t="s">
        <v>57</v>
      </c>
      <c r="B724" t="s">
        <v>22</v>
      </c>
      <c r="C724" t="s">
        <v>22</v>
      </c>
      <c r="D724" t="s">
        <v>11</v>
      </c>
      <c r="E724" t="s">
        <v>70</v>
      </c>
      <c r="F724" t="s">
        <v>9</v>
      </c>
      <c r="G724" s="15">
        <v>26.84</v>
      </c>
      <c r="H724" t="s">
        <v>27</v>
      </c>
      <c r="I724">
        <v>3</v>
      </c>
      <c r="J724" t="s">
        <v>47</v>
      </c>
      <c r="K724" t="s">
        <v>46</v>
      </c>
      <c r="L724" t="s">
        <v>46</v>
      </c>
      <c r="M724" t="s">
        <v>67</v>
      </c>
      <c r="N724" s="15">
        <v>30.5</v>
      </c>
      <c r="O724" s="16">
        <v>-12</v>
      </c>
      <c r="P724">
        <v>0</v>
      </c>
    </row>
    <row r="725" spans="1:16" x14ac:dyDescent="0.3">
      <c r="A725" t="s">
        <v>57</v>
      </c>
      <c r="B725" t="s">
        <v>17</v>
      </c>
      <c r="C725" t="s">
        <v>17</v>
      </c>
      <c r="D725" t="s">
        <v>14</v>
      </c>
      <c r="E725" t="s">
        <v>77</v>
      </c>
      <c r="F725" t="s">
        <v>9</v>
      </c>
      <c r="G725" s="15">
        <v>60.18</v>
      </c>
      <c r="H725" t="s">
        <v>26</v>
      </c>
      <c r="I725">
        <v>2</v>
      </c>
      <c r="J725" t="s">
        <v>47</v>
      </c>
      <c r="K725" t="s">
        <v>46</v>
      </c>
      <c r="L725" t="s">
        <v>45</v>
      </c>
      <c r="M725" t="s">
        <v>68</v>
      </c>
      <c r="N725" s="15">
        <v>65.97</v>
      </c>
      <c r="O725" s="16">
        <v>-8.8000000000000007</v>
      </c>
      <c r="P725">
        <v>0</v>
      </c>
    </row>
    <row r="726" spans="1:16" x14ac:dyDescent="0.3">
      <c r="A726" t="s">
        <v>57</v>
      </c>
      <c r="B726" t="s">
        <v>17</v>
      </c>
      <c r="C726" t="s">
        <v>17</v>
      </c>
      <c r="D726" t="s">
        <v>8</v>
      </c>
      <c r="E726" t="s">
        <v>73</v>
      </c>
      <c r="F726" t="s">
        <v>9</v>
      </c>
      <c r="G726" s="15">
        <v>99.65</v>
      </c>
      <c r="H726" t="s">
        <v>26</v>
      </c>
      <c r="I726">
        <v>2</v>
      </c>
      <c r="J726" t="s">
        <v>47</v>
      </c>
      <c r="K726" t="s">
        <v>45</v>
      </c>
      <c r="L726" t="s">
        <v>45</v>
      </c>
      <c r="M726" t="s">
        <v>64</v>
      </c>
      <c r="N726" s="15">
        <v>86.06</v>
      </c>
      <c r="O726" s="16">
        <v>15.8</v>
      </c>
      <c r="P726">
        <v>1</v>
      </c>
    </row>
    <row r="727" spans="1:16" x14ac:dyDescent="0.3">
      <c r="A727" t="s">
        <v>60</v>
      </c>
      <c r="B727" t="s">
        <v>17</v>
      </c>
      <c r="C727" t="s">
        <v>17</v>
      </c>
      <c r="D727" t="s">
        <v>8</v>
      </c>
      <c r="E727" t="s">
        <v>73</v>
      </c>
      <c r="F727" t="s">
        <v>9</v>
      </c>
      <c r="G727" s="15">
        <v>68.05</v>
      </c>
      <c r="H727" t="s">
        <v>26</v>
      </c>
      <c r="I727">
        <v>2</v>
      </c>
      <c r="J727" t="s">
        <v>47</v>
      </c>
      <c r="K727" t="s">
        <v>46</v>
      </c>
      <c r="L727" t="s">
        <v>45</v>
      </c>
      <c r="M727" t="s">
        <v>68</v>
      </c>
      <c r="N727" s="15">
        <v>82.04</v>
      </c>
      <c r="O727" s="16">
        <v>-17.100000000000001</v>
      </c>
      <c r="P727">
        <v>0</v>
      </c>
    </row>
    <row r="728" spans="1:16" x14ac:dyDescent="0.3">
      <c r="A728" t="s">
        <v>57</v>
      </c>
      <c r="B728" t="s">
        <v>17</v>
      </c>
      <c r="C728" t="s">
        <v>17</v>
      </c>
      <c r="D728" t="s">
        <v>15</v>
      </c>
      <c r="E728" t="s">
        <v>75</v>
      </c>
      <c r="F728" t="s">
        <v>9</v>
      </c>
      <c r="G728" s="15">
        <v>116.67</v>
      </c>
      <c r="H728" t="s">
        <v>26</v>
      </c>
      <c r="I728">
        <v>2</v>
      </c>
      <c r="J728" t="s">
        <v>47</v>
      </c>
      <c r="K728" t="s">
        <v>46</v>
      </c>
      <c r="L728" t="s">
        <v>46</v>
      </c>
      <c r="M728" t="s">
        <v>67</v>
      </c>
      <c r="N728" s="15">
        <v>120.06</v>
      </c>
      <c r="O728" s="16">
        <v>-2.8</v>
      </c>
      <c r="P728">
        <v>0</v>
      </c>
    </row>
    <row r="729" spans="1:16" x14ac:dyDescent="0.3">
      <c r="A729" t="s">
        <v>60</v>
      </c>
      <c r="B729" t="s">
        <v>21</v>
      </c>
      <c r="C729" t="s">
        <v>62</v>
      </c>
      <c r="D729" t="s">
        <v>12</v>
      </c>
      <c r="E729" t="s">
        <v>66</v>
      </c>
      <c r="F729" t="s">
        <v>13</v>
      </c>
      <c r="G729" s="15">
        <v>200</v>
      </c>
      <c r="H729" t="s">
        <v>25</v>
      </c>
      <c r="I729">
        <v>1</v>
      </c>
      <c r="J729" t="s">
        <v>48</v>
      </c>
      <c r="K729" t="s">
        <v>45</v>
      </c>
      <c r="L729" t="s">
        <v>45</v>
      </c>
      <c r="M729" t="s">
        <v>64</v>
      </c>
      <c r="N729" s="15">
        <v>168.34</v>
      </c>
      <c r="O729" s="16">
        <v>18.8</v>
      </c>
      <c r="P729">
        <v>1</v>
      </c>
    </row>
    <row r="730" spans="1:16" x14ac:dyDescent="0.3">
      <c r="A730" t="s">
        <v>65</v>
      </c>
      <c r="B730" t="s">
        <v>21</v>
      </c>
      <c r="C730" t="s">
        <v>62</v>
      </c>
      <c r="D730" t="s">
        <v>14</v>
      </c>
      <c r="E730" t="s">
        <v>71</v>
      </c>
      <c r="F730" t="s">
        <v>9</v>
      </c>
      <c r="G730" s="15">
        <v>64.59</v>
      </c>
      <c r="H730" t="s">
        <v>26</v>
      </c>
      <c r="I730">
        <v>2</v>
      </c>
      <c r="J730" t="s">
        <v>47</v>
      </c>
      <c r="K730" t="s">
        <v>45</v>
      </c>
      <c r="L730" t="s">
        <v>45</v>
      </c>
      <c r="M730" t="s">
        <v>72</v>
      </c>
      <c r="N730" s="15">
        <v>71.77</v>
      </c>
      <c r="O730" s="16">
        <v>-10</v>
      </c>
      <c r="P730">
        <v>0</v>
      </c>
    </row>
    <row r="731" spans="1:16" x14ac:dyDescent="0.3">
      <c r="A731" t="s">
        <v>60</v>
      </c>
      <c r="B731" t="s">
        <v>17</v>
      </c>
      <c r="C731" t="s">
        <v>17</v>
      </c>
      <c r="D731" t="s">
        <v>14</v>
      </c>
      <c r="E731" t="s">
        <v>71</v>
      </c>
      <c r="F731" t="s">
        <v>9</v>
      </c>
      <c r="G731" s="15">
        <v>64.760000000000005</v>
      </c>
      <c r="H731" t="s">
        <v>26</v>
      </c>
      <c r="I731">
        <v>2</v>
      </c>
      <c r="J731" t="s">
        <v>48</v>
      </c>
      <c r="K731" t="s">
        <v>45</v>
      </c>
      <c r="L731" t="s">
        <v>45</v>
      </c>
      <c r="M731" t="s">
        <v>67</v>
      </c>
      <c r="N731" s="15">
        <v>65.239999999999995</v>
      </c>
      <c r="O731" s="16">
        <v>-0.7</v>
      </c>
      <c r="P731">
        <v>0</v>
      </c>
    </row>
    <row r="732" spans="1:16" x14ac:dyDescent="0.3">
      <c r="A732" t="s">
        <v>60</v>
      </c>
      <c r="B732" t="s">
        <v>22</v>
      </c>
      <c r="C732" t="s">
        <v>22</v>
      </c>
      <c r="D732" t="s">
        <v>15</v>
      </c>
      <c r="E732" t="s">
        <v>75</v>
      </c>
      <c r="F732" t="s">
        <v>9</v>
      </c>
      <c r="G732" s="15">
        <v>109.3</v>
      </c>
      <c r="H732" t="s">
        <v>26</v>
      </c>
      <c r="I732">
        <v>2</v>
      </c>
      <c r="J732" t="s">
        <v>47</v>
      </c>
      <c r="K732" t="s">
        <v>46</v>
      </c>
      <c r="L732" t="s">
        <v>45</v>
      </c>
      <c r="M732" t="s">
        <v>59</v>
      </c>
      <c r="N732" s="15">
        <v>119</v>
      </c>
      <c r="O732" s="16">
        <v>-8.1999999999999993</v>
      </c>
      <c r="P732">
        <v>0</v>
      </c>
    </row>
    <row r="733" spans="1:16" x14ac:dyDescent="0.3">
      <c r="A733" t="s">
        <v>60</v>
      </c>
      <c r="B733" t="s">
        <v>22</v>
      </c>
      <c r="C733" t="s">
        <v>22</v>
      </c>
      <c r="D733" t="s">
        <v>11</v>
      </c>
      <c r="E733" t="s">
        <v>70</v>
      </c>
      <c r="F733" t="s">
        <v>9</v>
      </c>
      <c r="G733" s="15">
        <v>31.78</v>
      </c>
      <c r="H733" t="s">
        <v>26</v>
      </c>
      <c r="I733">
        <v>2</v>
      </c>
      <c r="J733" t="s">
        <v>48</v>
      </c>
      <c r="K733" t="s">
        <v>46</v>
      </c>
      <c r="L733" t="s">
        <v>45</v>
      </c>
      <c r="M733" t="s">
        <v>64</v>
      </c>
      <c r="N733" s="15">
        <v>31.4</v>
      </c>
      <c r="O733" s="16">
        <v>1.2</v>
      </c>
      <c r="P733">
        <v>0</v>
      </c>
    </row>
    <row r="734" spans="1:16" x14ac:dyDescent="0.3">
      <c r="A734" t="s">
        <v>60</v>
      </c>
      <c r="B734" t="s">
        <v>20</v>
      </c>
      <c r="C734" t="s">
        <v>20</v>
      </c>
      <c r="D734" t="s">
        <v>11</v>
      </c>
      <c r="E734" t="s">
        <v>79</v>
      </c>
      <c r="F734" t="s">
        <v>9</v>
      </c>
      <c r="G734" s="15">
        <v>29.92</v>
      </c>
      <c r="H734" t="s">
        <v>26</v>
      </c>
      <c r="I734">
        <v>2</v>
      </c>
      <c r="J734" t="s">
        <v>47</v>
      </c>
      <c r="K734" t="s">
        <v>46</v>
      </c>
      <c r="L734" t="s">
        <v>45</v>
      </c>
      <c r="M734" t="s">
        <v>64</v>
      </c>
      <c r="N734" s="15">
        <v>29.14</v>
      </c>
      <c r="O734" s="16">
        <v>2.7</v>
      </c>
      <c r="P734">
        <v>0</v>
      </c>
    </row>
    <row r="735" spans="1:16" x14ac:dyDescent="0.3">
      <c r="A735" t="s">
        <v>65</v>
      </c>
      <c r="B735" t="s">
        <v>19</v>
      </c>
      <c r="C735" t="s">
        <v>19</v>
      </c>
      <c r="D735" t="s">
        <v>8</v>
      </c>
      <c r="E735" t="s">
        <v>74</v>
      </c>
      <c r="F735" t="s">
        <v>9</v>
      </c>
      <c r="G735" s="15">
        <v>74.930000000000007</v>
      </c>
      <c r="H735" t="s">
        <v>27</v>
      </c>
      <c r="I735">
        <v>3</v>
      </c>
      <c r="J735" t="s">
        <v>48</v>
      </c>
      <c r="K735" t="s">
        <v>45</v>
      </c>
      <c r="L735" t="s">
        <v>46</v>
      </c>
      <c r="M735" t="s">
        <v>78</v>
      </c>
      <c r="N735" s="15">
        <v>91.13</v>
      </c>
      <c r="O735" s="16">
        <v>-17.8</v>
      </c>
      <c r="P735">
        <v>0</v>
      </c>
    </row>
    <row r="736" spans="1:16" x14ac:dyDescent="0.3">
      <c r="A736" t="s">
        <v>57</v>
      </c>
      <c r="B736" t="s">
        <v>19</v>
      </c>
      <c r="C736" t="s">
        <v>19</v>
      </c>
      <c r="D736" t="s">
        <v>14</v>
      </c>
      <c r="E736" t="s">
        <v>71</v>
      </c>
      <c r="F736" t="s">
        <v>9</v>
      </c>
      <c r="G736" s="15">
        <v>58.39</v>
      </c>
      <c r="H736" t="s">
        <v>26</v>
      </c>
      <c r="I736">
        <v>2</v>
      </c>
      <c r="J736" t="s">
        <v>48</v>
      </c>
      <c r="K736" t="s">
        <v>45</v>
      </c>
      <c r="L736" t="s">
        <v>45</v>
      </c>
      <c r="M736" t="s">
        <v>64</v>
      </c>
      <c r="N736" s="15">
        <v>65.77</v>
      </c>
      <c r="O736" s="16">
        <v>-11.2</v>
      </c>
      <c r="P736">
        <v>0</v>
      </c>
    </row>
    <row r="737" spans="1:16" x14ac:dyDescent="0.3">
      <c r="A737" t="s">
        <v>57</v>
      </c>
      <c r="B737" t="s">
        <v>21</v>
      </c>
      <c r="C737" t="s">
        <v>62</v>
      </c>
      <c r="D737" t="s">
        <v>14</v>
      </c>
      <c r="E737" t="s">
        <v>71</v>
      </c>
      <c r="F737" t="s">
        <v>9</v>
      </c>
      <c r="G737" s="15">
        <v>80</v>
      </c>
      <c r="H737" t="s">
        <v>25</v>
      </c>
      <c r="I737">
        <v>1</v>
      </c>
      <c r="J737" t="s">
        <v>47</v>
      </c>
      <c r="K737" t="s">
        <v>45</v>
      </c>
      <c r="L737" t="s">
        <v>46</v>
      </c>
      <c r="M737" t="s">
        <v>72</v>
      </c>
      <c r="N737" s="15">
        <v>65.77</v>
      </c>
      <c r="O737" s="16">
        <v>21.6</v>
      </c>
      <c r="P737">
        <v>1</v>
      </c>
    </row>
    <row r="738" spans="1:16" x14ac:dyDescent="0.3">
      <c r="A738" t="s">
        <v>65</v>
      </c>
      <c r="B738" t="s">
        <v>17</v>
      </c>
      <c r="C738" t="s">
        <v>17</v>
      </c>
      <c r="D738" t="s">
        <v>15</v>
      </c>
      <c r="E738" t="s">
        <v>75</v>
      </c>
      <c r="F738" t="s">
        <v>9</v>
      </c>
      <c r="G738" s="15">
        <v>112.42</v>
      </c>
      <c r="H738" t="s">
        <v>27</v>
      </c>
      <c r="I738">
        <v>3</v>
      </c>
      <c r="J738" t="s">
        <v>44</v>
      </c>
      <c r="K738" t="s">
        <v>46</v>
      </c>
      <c r="L738" t="s">
        <v>45</v>
      </c>
      <c r="M738" t="s">
        <v>67</v>
      </c>
      <c r="N738" s="15">
        <v>126.9</v>
      </c>
      <c r="O738" s="16">
        <v>-11.4</v>
      </c>
      <c r="P738">
        <v>0</v>
      </c>
    </row>
    <row r="739" spans="1:16" x14ac:dyDescent="0.3">
      <c r="A739" t="s">
        <v>65</v>
      </c>
      <c r="B739" t="s">
        <v>17</v>
      </c>
      <c r="C739" t="s">
        <v>17</v>
      </c>
      <c r="D739" t="s">
        <v>10</v>
      </c>
      <c r="E739" t="s">
        <v>58</v>
      </c>
      <c r="F739" t="s">
        <v>9</v>
      </c>
      <c r="G739" s="15">
        <v>154.26</v>
      </c>
      <c r="H739" t="s">
        <v>26</v>
      </c>
      <c r="I739">
        <v>2</v>
      </c>
      <c r="J739" t="s">
        <v>47</v>
      </c>
      <c r="K739" t="s">
        <v>46</v>
      </c>
      <c r="L739" t="s">
        <v>45</v>
      </c>
      <c r="M739" t="s">
        <v>61</v>
      </c>
      <c r="N739" s="15">
        <v>166.29</v>
      </c>
      <c r="O739" s="16">
        <v>-7.2</v>
      </c>
      <c r="P739">
        <v>0</v>
      </c>
    </row>
    <row r="740" spans="1:16" x14ac:dyDescent="0.3">
      <c r="A740" t="s">
        <v>65</v>
      </c>
      <c r="B740" t="s">
        <v>19</v>
      </c>
      <c r="C740" t="s">
        <v>19</v>
      </c>
      <c r="D740" t="s">
        <v>12</v>
      </c>
      <c r="E740" t="s">
        <v>80</v>
      </c>
      <c r="F740" t="s">
        <v>13</v>
      </c>
      <c r="G740" s="15">
        <v>200</v>
      </c>
      <c r="H740" t="s">
        <v>25</v>
      </c>
      <c r="I740">
        <v>1</v>
      </c>
      <c r="J740" t="s">
        <v>48</v>
      </c>
      <c r="K740" t="s">
        <v>45</v>
      </c>
      <c r="L740" t="s">
        <v>46</v>
      </c>
      <c r="M740" t="s">
        <v>72</v>
      </c>
      <c r="N740" s="15">
        <v>176.57</v>
      </c>
      <c r="O740" s="16">
        <v>13.3</v>
      </c>
      <c r="P740">
        <v>0</v>
      </c>
    </row>
    <row r="741" spans="1:16" x14ac:dyDescent="0.3">
      <c r="A741" t="s">
        <v>65</v>
      </c>
      <c r="B741" t="s">
        <v>18</v>
      </c>
      <c r="C741" t="s">
        <v>18</v>
      </c>
      <c r="D741" t="s">
        <v>11</v>
      </c>
      <c r="E741" t="s">
        <v>79</v>
      </c>
      <c r="F741" t="s">
        <v>9</v>
      </c>
      <c r="G741" s="15">
        <v>29.33</v>
      </c>
      <c r="H741" t="s">
        <v>25</v>
      </c>
      <c r="I741">
        <v>1</v>
      </c>
      <c r="J741" t="s">
        <v>47</v>
      </c>
      <c r="K741" t="s">
        <v>46</v>
      </c>
      <c r="L741" t="s">
        <v>45</v>
      </c>
      <c r="M741" t="s">
        <v>68</v>
      </c>
      <c r="N741" s="15">
        <v>33.39</v>
      </c>
      <c r="O741" s="16">
        <v>-12.2</v>
      </c>
      <c r="P741">
        <v>0</v>
      </c>
    </row>
    <row r="742" spans="1:16" x14ac:dyDescent="0.3">
      <c r="A742" t="s">
        <v>57</v>
      </c>
      <c r="B742" t="s">
        <v>21</v>
      </c>
      <c r="C742" t="s">
        <v>62</v>
      </c>
      <c r="D742" t="s">
        <v>10</v>
      </c>
      <c r="E742" t="s">
        <v>58</v>
      </c>
      <c r="F742" t="s">
        <v>9</v>
      </c>
      <c r="G742" s="15">
        <v>128.5</v>
      </c>
      <c r="H742" t="s">
        <v>27</v>
      </c>
      <c r="I742">
        <v>3</v>
      </c>
      <c r="J742" t="s">
        <v>48</v>
      </c>
      <c r="K742" t="s">
        <v>46</v>
      </c>
      <c r="L742" t="s">
        <v>46</v>
      </c>
      <c r="M742" t="s">
        <v>78</v>
      </c>
      <c r="N742" s="15">
        <v>151.19</v>
      </c>
      <c r="O742" s="16">
        <v>-15</v>
      </c>
      <c r="P742">
        <v>0</v>
      </c>
    </row>
    <row r="743" spans="1:16" x14ac:dyDescent="0.3">
      <c r="A743" t="s">
        <v>57</v>
      </c>
      <c r="B743" t="s">
        <v>18</v>
      </c>
      <c r="C743" t="s">
        <v>18</v>
      </c>
      <c r="D743" t="s">
        <v>12</v>
      </c>
      <c r="E743" t="s">
        <v>66</v>
      </c>
      <c r="F743" t="s">
        <v>13</v>
      </c>
      <c r="G743" s="15">
        <v>184.81</v>
      </c>
      <c r="H743" t="s">
        <v>25</v>
      </c>
      <c r="I743">
        <v>1</v>
      </c>
      <c r="J743" t="s">
        <v>48</v>
      </c>
      <c r="K743" t="s">
        <v>45</v>
      </c>
      <c r="L743" t="s">
        <v>46</v>
      </c>
      <c r="M743" t="s">
        <v>61</v>
      </c>
      <c r="N743" s="15">
        <v>170.56</v>
      </c>
      <c r="O743" s="16">
        <v>8.4</v>
      </c>
      <c r="P743">
        <v>0</v>
      </c>
    </row>
    <row r="744" spans="1:16" x14ac:dyDescent="0.3">
      <c r="A744" t="s">
        <v>57</v>
      </c>
      <c r="B744" t="s">
        <v>21</v>
      </c>
      <c r="C744" t="s">
        <v>62</v>
      </c>
      <c r="D744" t="s">
        <v>11</v>
      </c>
      <c r="E744" t="s">
        <v>79</v>
      </c>
      <c r="F744" t="s">
        <v>9</v>
      </c>
      <c r="G744" s="15">
        <v>36.020000000000003</v>
      </c>
      <c r="H744" t="s">
        <v>25</v>
      </c>
      <c r="I744">
        <v>1</v>
      </c>
      <c r="J744" t="s">
        <v>48</v>
      </c>
      <c r="K744" t="s">
        <v>45</v>
      </c>
      <c r="L744" t="s">
        <v>46</v>
      </c>
      <c r="M744" t="s">
        <v>68</v>
      </c>
      <c r="N744" s="15">
        <v>30.93</v>
      </c>
      <c r="O744" s="16">
        <v>16.5</v>
      </c>
      <c r="P744">
        <v>1</v>
      </c>
    </row>
    <row r="745" spans="1:16" x14ac:dyDescent="0.3">
      <c r="A745" t="s">
        <v>65</v>
      </c>
      <c r="B745" t="s">
        <v>17</v>
      </c>
      <c r="C745" t="s">
        <v>17</v>
      </c>
      <c r="D745" t="s">
        <v>14</v>
      </c>
      <c r="E745" t="s">
        <v>63</v>
      </c>
      <c r="F745" t="s">
        <v>9</v>
      </c>
      <c r="G745" s="15">
        <v>75.13</v>
      </c>
      <c r="H745" t="s">
        <v>27</v>
      </c>
      <c r="I745">
        <v>3</v>
      </c>
      <c r="J745" t="s">
        <v>44</v>
      </c>
      <c r="K745" t="s">
        <v>45</v>
      </c>
      <c r="L745" t="s">
        <v>45</v>
      </c>
      <c r="M745" t="s">
        <v>59</v>
      </c>
      <c r="N745" s="15">
        <v>68.150000000000006</v>
      </c>
      <c r="O745" s="16">
        <v>10.199999999999999</v>
      </c>
      <c r="P745">
        <v>0</v>
      </c>
    </row>
    <row r="746" spans="1:16" x14ac:dyDescent="0.3">
      <c r="A746" t="s">
        <v>57</v>
      </c>
      <c r="B746" t="s">
        <v>21</v>
      </c>
      <c r="C746" t="s">
        <v>62</v>
      </c>
      <c r="D746" t="s">
        <v>15</v>
      </c>
      <c r="E746" t="s">
        <v>76</v>
      </c>
      <c r="F746" t="s">
        <v>9</v>
      </c>
      <c r="G746" s="15">
        <v>118.55</v>
      </c>
      <c r="H746" t="s">
        <v>26</v>
      </c>
      <c r="I746">
        <v>2</v>
      </c>
      <c r="J746" t="s">
        <v>48</v>
      </c>
      <c r="K746" t="s">
        <v>45</v>
      </c>
      <c r="L746" t="s">
        <v>46</v>
      </c>
      <c r="M746" t="s">
        <v>67</v>
      </c>
      <c r="N746" s="15">
        <v>118.59</v>
      </c>
      <c r="O746" s="16">
        <v>0</v>
      </c>
      <c r="P746">
        <v>0</v>
      </c>
    </row>
    <row r="747" spans="1:16" x14ac:dyDescent="0.3">
      <c r="A747" t="s">
        <v>57</v>
      </c>
      <c r="B747" t="s">
        <v>22</v>
      </c>
      <c r="C747" t="s">
        <v>22</v>
      </c>
      <c r="D747" t="s">
        <v>10</v>
      </c>
      <c r="E747" t="s">
        <v>58</v>
      </c>
      <c r="F747" t="s">
        <v>9</v>
      </c>
      <c r="G747" s="15">
        <v>158.94999999999999</v>
      </c>
      <c r="H747" t="s">
        <v>26</v>
      </c>
      <c r="I747">
        <v>2</v>
      </c>
      <c r="J747" t="s">
        <v>48</v>
      </c>
      <c r="K747" t="s">
        <v>45</v>
      </c>
      <c r="L747" t="s">
        <v>46</v>
      </c>
      <c r="M747" t="s">
        <v>72</v>
      </c>
      <c r="N747" s="15">
        <v>151.19</v>
      </c>
      <c r="O747" s="16">
        <v>5.0999999999999996</v>
      </c>
      <c r="P747">
        <v>0</v>
      </c>
    </row>
    <row r="748" spans="1:16" x14ac:dyDescent="0.3">
      <c r="A748" t="s">
        <v>60</v>
      </c>
      <c r="B748" t="s">
        <v>22</v>
      </c>
      <c r="C748" t="s">
        <v>22</v>
      </c>
      <c r="D748" t="s">
        <v>15</v>
      </c>
      <c r="E748" t="s">
        <v>75</v>
      </c>
      <c r="F748" t="s">
        <v>9</v>
      </c>
      <c r="G748" s="15">
        <v>106.58</v>
      </c>
      <c r="H748" t="s">
        <v>26</v>
      </c>
      <c r="I748">
        <v>2</v>
      </c>
      <c r="J748" t="s">
        <v>47</v>
      </c>
      <c r="K748" t="s">
        <v>46</v>
      </c>
      <c r="L748" t="s">
        <v>45</v>
      </c>
      <c r="M748" t="s">
        <v>78</v>
      </c>
      <c r="N748" s="15">
        <v>119</v>
      </c>
      <c r="O748" s="16">
        <v>-10.4</v>
      </c>
      <c r="P748">
        <v>0</v>
      </c>
    </row>
    <row r="749" spans="1:16" x14ac:dyDescent="0.3">
      <c r="A749" t="s">
        <v>60</v>
      </c>
      <c r="B749" t="s">
        <v>20</v>
      </c>
      <c r="C749" t="s">
        <v>20</v>
      </c>
      <c r="D749" t="s">
        <v>12</v>
      </c>
      <c r="E749" t="s">
        <v>80</v>
      </c>
      <c r="F749" t="s">
        <v>13</v>
      </c>
      <c r="G749" s="15">
        <v>159.87</v>
      </c>
      <c r="H749" t="s">
        <v>27</v>
      </c>
      <c r="I749">
        <v>3</v>
      </c>
      <c r="J749" t="s">
        <v>48</v>
      </c>
      <c r="K749" t="s">
        <v>45</v>
      </c>
      <c r="L749" t="s">
        <v>45</v>
      </c>
      <c r="M749" t="s">
        <v>72</v>
      </c>
      <c r="N749" s="15">
        <v>167.63</v>
      </c>
      <c r="O749" s="16">
        <v>-4.5999999999999996</v>
      </c>
      <c r="P749">
        <v>0</v>
      </c>
    </row>
    <row r="750" spans="1:16" x14ac:dyDescent="0.3">
      <c r="A750" t="s">
        <v>60</v>
      </c>
      <c r="B750" t="s">
        <v>19</v>
      </c>
      <c r="C750" t="s">
        <v>19</v>
      </c>
      <c r="D750" t="s">
        <v>12</v>
      </c>
      <c r="E750" t="s">
        <v>80</v>
      </c>
      <c r="F750" t="s">
        <v>13</v>
      </c>
      <c r="G750" s="15">
        <v>178.5</v>
      </c>
      <c r="H750" t="s">
        <v>27</v>
      </c>
      <c r="I750">
        <v>3</v>
      </c>
      <c r="J750" t="s">
        <v>48</v>
      </c>
      <c r="K750" t="s">
        <v>45</v>
      </c>
      <c r="L750" t="s">
        <v>45</v>
      </c>
      <c r="M750" t="s">
        <v>72</v>
      </c>
      <c r="N750" s="15">
        <v>167.63</v>
      </c>
      <c r="O750" s="16">
        <v>6.5</v>
      </c>
      <c r="P750">
        <v>0</v>
      </c>
    </row>
    <row r="751" spans="1:16" x14ac:dyDescent="0.3">
      <c r="A751" t="s">
        <v>65</v>
      </c>
      <c r="B751" t="s">
        <v>19</v>
      </c>
      <c r="C751" t="s">
        <v>19</v>
      </c>
      <c r="D751" t="s">
        <v>14</v>
      </c>
      <c r="E751" t="s">
        <v>71</v>
      </c>
      <c r="F751" t="s">
        <v>9</v>
      </c>
      <c r="G751" s="15">
        <v>73.099999999999994</v>
      </c>
      <c r="H751" t="s">
        <v>26</v>
      </c>
      <c r="I751">
        <v>2</v>
      </c>
      <c r="J751" t="s">
        <v>47</v>
      </c>
      <c r="K751" t="s">
        <v>45</v>
      </c>
      <c r="L751" t="s">
        <v>46</v>
      </c>
      <c r="M751" t="s">
        <v>59</v>
      </c>
      <c r="N751" s="15">
        <v>71.77</v>
      </c>
      <c r="O751" s="16">
        <v>1.9</v>
      </c>
      <c r="P751">
        <v>0</v>
      </c>
    </row>
    <row r="752" spans="1:16" x14ac:dyDescent="0.3">
      <c r="A752" t="s">
        <v>57</v>
      </c>
      <c r="B752" t="s">
        <v>21</v>
      </c>
      <c r="C752" t="s">
        <v>62</v>
      </c>
      <c r="D752" t="s">
        <v>12</v>
      </c>
      <c r="E752" t="s">
        <v>80</v>
      </c>
      <c r="F752" t="s">
        <v>13</v>
      </c>
      <c r="G752" s="15">
        <v>152.94999999999999</v>
      </c>
      <c r="H752" t="s">
        <v>27</v>
      </c>
      <c r="I752">
        <v>3</v>
      </c>
      <c r="J752" t="s">
        <v>47</v>
      </c>
      <c r="K752" t="s">
        <v>45</v>
      </c>
      <c r="L752" t="s">
        <v>45</v>
      </c>
      <c r="M752" t="s">
        <v>59</v>
      </c>
      <c r="N752" s="15">
        <v>162.72999999999999</v>
      </c>
      <c r="O752" s="16">
        <v>-6</v>
      </c>
      <c r="P752">
        <v>0</v>
      </c>
    </row>
    <row r="753" spans="1:16" x14ac:dyDescent="0.3">
      <c r="A753" t="s">
        <v>60</v>
      </c>
      <c r="B753" t="s">
        <v>18</v>
      </c>
      <c r="C753" t="s">
        <v>18</v>
      </c>
      <c r="D753" t="s">
        <v>10</v>
      </c>
      <c r="E753" t="s">
        <v>58</v>
      </c>
      <c r="F753" t="s">
        <v>9</v>
      </c>
      <c r="G753" s="15">
        <v>156.27000000000001</v>
      </c>
      <c r="H753" t="s">
        <v>26</v>
      </c>
      <c r="I753">
        <v>2</v>
      </c>
      <c r="J753" t="s">
        <v>48</v>
      </c>
      <c r="K753" t="s">
        <v>45</v>
      </c>
      <c r="L753" t="s">
        <v>45</v>
      </c>
      <c r="M753" t="s">
        <v>78</v>
      </c>
      <c r="N753" s="15">
        <v>152.03</v>
      </c>
      <c r="O753" s="16">
        <v>2.8</v>
      </c>
      <c r="P753">
        <v>0</v>
      </c>
    </row>
    <row r="754" spans="1:16" x14ac:dyDescent="0.3">
      <c r="A754" t="s">
        <v>60</v>
      </c>
      <c r="B754" t="s">
        <v>18</v>
      </c>
      <c r="C754" t="s">
        <v>18</v>
      </c>
      <c r="D754" t="s">
        <v>11</v>
      </c>
      <c r="E754" t="s">
        <v>70</v>
      </c>
      <c r="F754" t="s">
        <v>9</v>
      </c>
      <c r="G754" s="15">
        <v>36.86</v>
      </c>
      <c r="H754" t="s">
        <v>27</v>
      </c>
      <c r="I754">
        <v>3</v>
      </c>
      <c r="J754" t="s">
        <v>48</v>
      </c>
      <c r="K754" t="s">
        <v>45</v>
      </c>
      <c r="L754" t="s">
        <v>46</v>
      </c>
      <c r="M754" t="s">
        <v>78</v>
      </c>
      <c r="N754" s="15">
        <v>31.4</v>
      </c>
      <c r="O754" s="16">
        <v>17.399999999999999</v>
      </c>
      <c r="P754">
        <v>1</v>
      </c>
    </row>
    <row r="755" spans="1:16" x14ac:dyDescent="0.3">
      <c r="A755" t="s">
        <v>60</v>
      </c>
      <c r="B755" t="s">
        <v>19</v>
      </c>
      <c r="C755" t="s">
        <v>19</v>
      </c>
      <c r="D755" t="s">
        <v>10</v>
      </c>
      <c r="E755" t="s">
        <v>69</v>
      </c>
      <c r="F755" t="s">
        <v>9</v>
      </c>
      <c r="G755" s="15">
        <v>173.26</v>
      </c>
      <c r="H755" t="s">
        <v>26</v>
      </c>
      <c r="I755">
        <v>2</v>
      </c>
      <c r="J755" t="s">
        <v>48</v>
      </c>
      <c r="K755" t="s">
        <v>46</v>
      </c>
      <c r="L755" t="s">
        <v>45</v>
      </c>
      <c r="M755" t="s">
        <v>72</v>
      </c>
      <c r="N755" s="15">
        <v>158.6</v>
      </c>
      <c r="O755" s="16">
        <v>9.1999999999999993</v>
      </c>
      <c r="P755">
        <v>0</v>
      </c>
    </row>
    <row r="756" spans="1:16" x14ac:dyDescent="0.3">
      <c r="A756" t="s">
        <v>57</v>
      </c>
      <c r="B756" t="s">
        <v>22</v>
      </c>
      <c r="C756" t="s">
        <v>22</v>
      </c>
      <c r="D756" t="s">
        <v>11</v>
      </c>
      <c r="E756" t="s">
        <v>70</v>
      </c>
      <c r="F756" t="s">
        <v>9</v>
      </c>
      <c r="G756" s="15">
        <v>29.65</v>
      </c>
      <c r="H756" t="s">
        <v>26</v>
      </c>
      <c r="I756">
        <v>2</v>
      </c>
      <c r="J756" t="s">
        <v>48</v>
      </c>
      <c r="K756" t="s">
        <v>46</v>
      </c>
      <c r="L756" t="s">
        <v>45</v>
      </c>
      <c r="M756" t="s">
        <v>72</v>
      </c>
      <c r="N756" s="15">
        <v>30.5</v>
      </c>
      <c r="O756" s="16">
        <v>-2.8</v>
      </c>
      <c r="P756">
        <v>0</v>
      </c>
    </row>
    <row r="757" spans="1:16" x14ac:dyDescent="0.3">
      <c r="A757" t="s">
        <v>65</v>
      </c>
      <c r="B757" t="s">
        <v>19</v>
      </c>
      <c r="C757" t="s">
        <v>19</v>
      </c>
      <c r="D757" t="s">
        <v>15</v>
      </c>
      <c r="E757" t="s">
        <v>76</v>
      </c>
      <c r="F757" t="s">
        <v>9</v>
      </c>
      <c r="G757" s="15">
        <v>132.5</v>
      </c>
      <c r="H757" t="s">
        <v>25</v>
      </c>
      <c r="I757">
        <v>1</v>
      </c>
      <c r="J757" t="s">
        <v>44</v>
      </c>
      <c r="K757" t="s">
        <v>46</v>
      </c>
      <c r="L757" t="s">
        <v>45</v>
      </c>
      <c r="M757" t="s">
        <v>72</v>
      </c>
      <c r="N757" s="15">
        <v>126.51</v>
      </c>
      <c r="O757" s="16">
        <v>4.7</v>
      </c>
      <c r="P757">
        <v>0</v>
      </c>
    </row>
    <row r="758" spans="1:16" x14ac:dyDescent="0.3">
      <c r="A758" t="s">
        <v>60</v>
      </c>
      <c r="B758" t="s">
        <v>21</v>
      </c>
      <c r="C758" t="s">
        <v>62</v>
      </c>
      <c r="D758" t="s">
        <v>8</v>
      </c>
      <c r="E758" t="s">
        <v>74</v>
      </c>
      <c r="F758" t="s">
        <v>9</v>
      </c>
      <c r="G758" s="15">
        <v>89.87</v>
      </c>
      <c r="H758" t="s">
        <v>26</v>
      </c>
      <c r="I758">
        <v>2</v>
      </c>
      <c r="J758" t="s">
        <v>48</v>
      </c>
      <c r="K758" t="s">
        <v>45</v>
      </c>
      <c r="L758" t="s">
        <v>45</v>
      </c>
      <c r="M758" t="s">
        <v>78</v>
      </c>
      <c r="N758" s="15">
        <v>78.260000000000005</v>
      </c>
      <c r="O758" s="16">
        <v>14.8</v>
      </c>
      <c r="P758">
        <v>0</v>
      </c>
    </row>
    <row r="759" spans="1:16" x14ac:dyDescent="0.3">
      <c r="A759" t="s">
        <v>65</v>
      </c>
      <c r="B759" t="s">
        <v>17</v>
      </c>
      <c r="C759" t="s">
        <v>17</v>
      </c>
      <c r="D759" t="s">
        <v>12</v>
      </c>
      <c r="E759" t="s">
        <v>80</v>
      </c>
      <c r="F759" t="s">
        <v>13</v>
      </c>
      <c r="G759" s="15">
        <v>187.43</v>
      </c>
      <c r="H759" t="s">
        <v>26</v>
      </c>
      <c r="I759">
        <v>2</v>
      </c>
      <c r="J759" t="s">
        <v>47</v>
      </c>
      <c r="K759" t="s">
        <v>45</v>
      </c>
      <c r="L759" t="s">
        <v>45</v>
      </c>
      <c r="M759" t="s">
        <v>68</v>
      </c>
      <c r="N759" s="15">
        <v>176.57</v>
      </c>
      <c r="O759" s="16">
        <v>6.2</v>
      </c>
      <c r="P759">
        <v>0</v>
      </c>
    </row>
    <row r="760" spans="1:16" x14ac:dyDescent="0.3">
      <c r="A760" t="s">
        <v>65</v>
      </c>
      <c r="B760" t="s">
        <v>20</v>
      </c>
      <c r="C760" t="s">
        <v>20</v>
      </c>
      <c r="D760" t="s">
        <v>14</v>
      </c>
      <c r="E760" t="s">
        <v>77</v>
      </c>
      <c r="F760" t="s">
        <v>9</v>
      </c>
      <c r="G760" s="15">
        <v>69.09</v>
      </c>
      <c r="H760" t="s">
        <v>27</v>
      </c>
      <c r="I760">
        <v>3</v>
      </c>
      <c r="J760" t="s">
        <v>48</v>
      </c>
      <c r="K760" t="s">
        <v>45</v>
      </c>
      <c r="L760" t="s">
        <v>45</v>
      </c>
      <c r="M760" t="s">
        <v>64</v>
      </c>
      <c r="N760" s="15">
        <v>70.66</v>
      </c>
      <c r="O760" s="16">
        <v>-2.2000000000000002</v>
      </c>
      <c r="P760">
        <v>0</v>
      </c>
    </row>
    <row r="761" spans="1:16" x14ac:dyDescent="0.3">
      <c r="A761" t="s">
        <v>65</v>
      </c>
      <c r="B761" t="s">
        <v>21</v>
      </c>
      <c r="C761" t="s">
        <v>62</v>
      </c>
      <c r="D761" t="s">
        <v>11</v>
      </c>
      <c r="E761" t="s">
        <v>70</v>
      </c>
      <c r="F761" t="s">
        <v>9</v>
      </c>
      <c r="G761" s="15">
        <v>36.200000000000003</v>
      </c>
      <c r="H761" t="s">
        <v>25</v>
      </c>
      <c r="I761">
        <v>1</v>
      </c>
      <c r="J761" t="s">
        <v>48</v>
      </c>
      <c r="K761" t="s">
        <v>45</v>
      </c>
      <c r="L761" t="s">
        <v>45</v>
      </c>
      <c r="M761" t="s">
        <v>78</v>
      </c>
      <c r="N761" s="15">
        <v>32.630000000000003</v>
      </c>
      <c r="O761" s="16">
        <v>10.9</v>
      </c>
      <c r="P761">
        <v>0</v>
      </c>
    </row>
    <row r="762" spans="1:16" x14ac:dyDescent="0.3">
      <c r="A762" t="s">
        <v>65</v>
      </c>
      <c r="B762" t="s">
        <v>20</v>
      </c>
      <c r="C762" t="s">
        <v>20</v>
      </c>
      <c r="D762" t="s">
        <v>8</v>
      </c>
      <c r="E762" t="s">
        <v>73</v>
      </c>
      <c r="F762" t="s">
        <v>9</v>
      </c>
      <c r="G762" s="15">
        <v>97.23</v>
      </c>
      <c r="H762" t="s">
        <v>26</v>
      </c>
      <c r="I762">
        <v>2</v>
      </c>
      <c r="J762" t="s">
        <v>47</v>
      </c>
      <c r="K762" t="s">
        <v>45</v>
      </c>
      <c r="L762" t="s">
        <v>45</v>
      </c>
      <c r="M762" t="s">
        <v>67</v>
      </c>
      <c r="N762" s="15">
        <v>88.05</v>
      </c>
      <c r="O762" s="16">
        <v>10.4</v>
      </c>
      <c r="P762">
        <v>0</v>
      </c>
    </row>
    <row r="763" spans="1:16" x14ac:dyDescent="0.3">
      <c r="A763" t="s">
        <v>65</v>
      </c>
      <c r="B763" t="s">
        <v>20</v>
      </c>
      <c r="C763" t="s">
        <v>20</v>
      </c>
      <c r="D763" t="s">
        <v>14</v>
      </c>
      <c r="E763" t="s">
        <v>71</v>
      </c>
      <c r="F763" t="s">
        <v>9</v>
      </c>
      <c r="G763" s="15">
        <v>71.92</v>
      </c>
      <c r="H763" t="s">
        <v>26</v>
      </c>
      <c r="I763">
        <v>2</v>
      </c>
      <c r="J763" t="s">
        <v>47</v>
      </c>
      <c r="K763" t="s">
        <v>45</v>
      </c>
      <c r="L763" t="s">
        <v>45</v>
      </c>
      <c r="M763" t="s">
        <v>68</v>
      </c>
      <c r="N763" s="15">
        <v>71.77</v>
      </c>
      <c r="O763" s="16">
        <v>0.2</v>
      </c>
      <c r="P763">
        <v>0</v>
      </c>
    </row>
    <row r="764" spans="1:16" x14ac:dyDescent="0.3">
      <c r="A764" t="s">
        <v>65</v>
      </c>
      <c r="B764" t="s">
        <v>21</v>
      </c>
      <c r="C764" t="s">
        <v>62</v>
      </c>
      <c r="D764" t="s">
        <v>14</v>
      </c>
      <c r="E764" t="s">
        <v>77</v>
      </c>
      <c r="F764" t="s">
        <v>9</v>
      </c>
      <c r="G764" s="15">
        <v>70.66</v>
      </c>
      <c r="H764" t="s">
        <v>25</v>
      </c>
      <c r="I764">
        <v>1</v>
      </c>
      <c r="J764" t="s">
        <v>48</v>
      </c>
      <c r="K764" t="s">
        <v>46</v>
      </c>
      <c r="L764" t="s">
        <v>46</v>
      </c>
      <c r="M764" t="s">
        <v>64</v>
      </c>
      <c r="N764" s="15">
        <v>70.66</v>
      </c>
      <c r="O764" s="16">
        <v>0</v>
      </c>
      <c r="P764">
        <v>0</v>
      </c>
    </row>
    <row r="765" spans="1:16" x14ac:dyDescent="0.3">
      <c r="A765" t="s">
        <v>65</v>
      </c>
      <c r="B765" t="s">
        <v>17</v>
      </c>
      <c r="C765" t="s">
        <v>17</v>
      </c>
      <c r="D765" t="s">
        <v>15</v>
      </c>
      <c r="E765" t="s">
        <v>76</v>
      </c>
      <c r="F765" t="s">
        <v>9</v>
      </c>
      <c r="G765" s="15">
        <v>123.47</v>
      </c>
      <c r="H765" t="s">
        <v>25</v>
      </c>
      <c r="I765">
        <v>1</v>
      </c>
      <c r="J765" t="s">
        <v>47</v>
      </c>
      <c r="K765" t="s">
        <v>46</v>
      </c>
      <c r="L765" t="s">
        <v>45</v>
      </c>
      <c r="M765" t="s">
        <v>68</v>
      </c>
      <c r="N765" s="15">
        <v>126.51</v>
      </c>
      <c r="O765" s="16">
        <v>-2.4</v>
      </c>
      <c r="P765">
        <v>0</v>
      </c>
    </row>
    <row r="766" spans="1:16" x14ac:dyDescent="0.3">
      <c r="A766" t="s">
        <v>60</v>
      </c>
      <c r="B766" t="s">
        <v>21</v>
      </c>
      <c r="C766" t="s">
        <v>62</v>
      </c>
      <c r="D766" t="s">
        <v>11</v>
      </c>
      <c r="E766" t="s">
        <v>70</v>
      </c>
      <c r="F766" t="s">
        <v>9</v>
      </c>
      <c r="G766" s="15">
        <v>33.659999999999997</v>
      </c>
      <c r="H766" t="s">
        <v>27</v>
      </c>
      <c r="I766">
        <v>3</v>
      </c>
      <c r="J766" t="s">
        <v>48</v>
      </c>
      <c r="K766" t="s">
        <v>45</v>
      </c>
      <c r="L766" t="s">
        <v>45</v>
      </c>
      <c r="M766" t="s">
        <v>59</v>
      </c>
      <c r="N766" s="15">
        <v>31.4</v>
      </c>
      <c r="O766" s="16">
        <v>7.2</v>
      </c>
      <c r="P766">
        <v>0</v>
      </c>
    </row>
    <row r="767" spans="1:16" x14ac:dyDescent="0.3">
      <c r="A767" t="s">
        <v>65</v>
      </c>
      <c r="B767" t="s">
        <v>21</v>
      </c>
      <c r="C767" t="s">
        <v>62</v>
      </c>
      <c r="D767" t="s">
        <v>14</v>
      </c>
      <c r="E767" t="s">
        <v>63</v>
      </c>
      <c r="F767" t="s">
        <v>9</v>
      </c>
      <c r="G767" s="15">
        <v>80</v>
      </c>
      <c r="H767" t="s">
        <v>26</v>
      </c>
      <c r="I767">
        <v>2</v>
      </c>
      <c r="J767" t="s">
        <v>47</v>
      </c>
      <c r="K767" t="s">
        <v>45</v>
      </c>
      <c r="L767" t="s">
        <v>46</v>
      </c>
      <c r="M767" t="s">
        <v>59</v>
      </c>
      <c r="N767" s="15">
        <v>68.150000000000006</v>
      </c>
      <c r="O767" s="16">
        <v>17.399999999999999</v>
      </c>
      <c r="P767">
        <v>1</v>
      </c>
    </row>
    <row r="768" spans="1:16" x14ac:dyDescent="0.3">
      <c r="A768" t="s">
        <v>57</v>
      </c>
      <c r="B768" t="s">
        <v>20</v>
      </c>
      <c r="C768" t="s">
        <v>20</v>
      </c>
      <c r="D768" t="s">
        <v>15</v>
      </c>
      <c r="E768" t="s">
        <v>76</v>
      </c>
      <c r="F768" t="s">
        <v>9</v>
      </c>
      <c r="G768" s="15">
        <v>140</v>
      </c>
      <c r="H768" t="s">
        <v>25</v>
      </c>
      <c r="I768">
        <v>1</v>
      </c>
      <c r="J768" t="s">
        <v>47</v>
      </c>
      <c r="K768" t="s">
        <v>45</v>
      </c>
      <c r="L768" t="s">
        <v>45</v>
      </c>
      <c r="M768" t="s">
        <v>59</v>
      </c>
      <c r="N768" s="15">
        <v>118.59</v>
      </c>
      <c r="O768" s="16">
        <v>18.100000000000001</v>
      </c>
      <c r="P768">
        <v>1</v>
      </c>
    </row>
    <row r="769" spans="1:16" x14ac:dyDescent="0.3">
      <c r="A769" t="s">
        <v>60</v>
      </c>
      <c r="B769" t="s">
        <v>18</v>
      </c>
      <c r="C769" t="s">
        <v>18</v>
      </c>
      <c r="D769" t="s">
        <v>11</v>
      </c>
      <c r="E769" t="s">
        <v>79</v>
      </c>
      <c r="F769" t="s">
        <v>9</v>
      </c>
      <c r="G769" s="15">
        <v>33.090000000000003</v>
      </c>
      <c r="H769" t="s">
        <v>26</v>
      </c>
      <c r="I769">
        <v>2</v>
      </c>
      <c r="J769" t="s">
        <v>48</v>
      </c>
      <c r="K769" t="s">
        <v>46</v>
      </c>
      <c r="L769" t="s">
        <v>45</v>
      </c>
      <c r="M769" t="s">
        <v>59</v>
      </c>
      <c r="N769" s="15">
        <v>29.14</v>
      </c>
      <c r="O769" s="16">
        <v>13.5</v>
      </c>
      <c r="P769">
        <v>0</v>
      </c>
    </row>
    <row r="770" spans="1:16" x14ac:dyDescent="0.3">
      <c r="A770" t="s">
        <v>57</v>
      </c>
      <c r="B770" t="s">
        <v>20</v>
      </c>
      <c r="C770" t="s">
        <v>20</v>
      </c>
      <c r="D770" t="s">
        <v>15</v>
      </c>
      <c r="E770" t="s">
        <v>76</v>
      </c>
      <c r="F770" t="s">
        <v>9</v>
      </c>
      <c r="G770" s="15">
        <v>102.01</v>
      </c>
      <c r="H770" t="s">
        <v>27</v>
      </c>
      <c r="I770">
        <v>3</v>
      </c>
      <c r="J770" t="s">
        <v>47</v>
      </c>
      <c r="K770" t="s">
        <v>46</v>
      </c>
      <c r="L770" t="s">
        <v>45</v>
      </c>
      <c r="M770" t="s">
        <v>68</v>
      </c>
      <c r="N770" s="15">
        <v>118.59</v>
      </c>
      <c r="O770" s="16">
        <v>-14</v>
      </c>
      <c r="P770">
        <v>0</v>
      </c>
    </row>
    <row r="771" spans="1:16" x14ac:dyDescent="0.3">
      <c r="A771" t="s">
        <v>60</v>
      </c>
      <c r="B771" t="s">
        <v>21</v>
      </c>
      <c r="C771" t="s">
        <v>62</v>
      </c>
      <c r="D771" t="s">
        <v>8</v>
      </c>
      <c r="E771" t="s">
        <v>74</v>
      </c>
      <c r="F771" t="s">
        <v>9</v>
      </c>
      <c r="G771" s="15">
        <v>59.91</v>
      </c>
      <c r="H771" t="s">
        <v>26</v>
      </c>
      <c r="I771">
        <v>2</v>
      </c>
      <c r="J771" t="s">
        <v>48</v>
      </c>
      <c r="K771" t="s">
        <v>45</v>
      </c>
      <c r="L771" t="s">
        <v>45</v>
      </c>
      <c r="M771" t="s">
        <v>67</v>
      </c>
      <c r="N771" s="15">
        <v>78.260000000000005</v>
      </c>
      <c r="O771" s="16">
        <v>-23.4</v>
      </c>
      <c r="P771">
        <v>0</v>
      </c>
    </row>
    <row r="772" spans="1:16" x14ac:dyDescent="0.3">
      <c r="A772" t="s">
        <v>57</v>
      </c>
      <c r="B772" t="s">
        <v>17</v>
      </c>
      <c r="C772" t="s">
        <v>17</v>
      </c>
      <c r="D772" t="s">
        <v>11</v>
      </c>
      <c r="E772" t="s">
        <v>79</v>
      </c>
      <c r="F772" t="s">
        <v>9</v>
      </c>
      <c r="G772" s="15">
        <v>28.74</v>
      </c>
      <c r="H772" t="s">
        <v>27</v>
      </c>
      <c r="I772">
        <v>3</v>
      </c>
      <c r="J772" t="s">
        <v>48</v>
      </c>
      <c r="K772" t="s">
        <v>46</v>
      </c>
      <c r="L772" t="s">
        <v>45</v>
      </c>
      <c r="M772" t="s">
        <v>72</v>
      </c>
      <c r="N772" s="15">
        <v>30.93</v>
      </c>
      <c r="O772" s="16">
        <v>-7.1</v>
      </c>
      <c r="P772">
        <v>0</v>
      </c>
    </row>
    <row r="773" spans="1:16" x14ac:dyDescent="0.3">
      <c r="A773" t="s">
        <v>57</v>
      </c>
      <c r="B773" t="s">
        <v>21</v>
      </c>
      <c r="C773" t="s">
        <v>62</v>
      </c>
      <c r="D773" t="s">
        <v>8</v>
      </c>
      <c r="E773" t="s">
        <v>74</v>
      </c>
      <c r="F773" t="s">
        <v>9</v>
      </c>
      <c r="G773" s="15">
        <v>69.819999999999993</v>
      </c>
      <c r="H773" t="s">
        <v>26</v>
      </c>
      <c r="I773">
        <v>2</v>
      </c>
      <c r="J773" t="s">
        <v>48</v>
      </c>
      <c r="K773" t="s">
        <v>45</v>
      </c>
      <c r="L773" t="s">
        <v>46</v>
      </c>
      <c r="M773" t="s">
        <v>78</v>
      </c>
      <c r="N773" s="15">
        <v>83.41</v>
      </c>
      <c r="O773" s="16">
        <v>-16.3</v>
      </c>
      <c r="P773">
        <v>0</v>
      </c>
    </row>
    <row r="774" spans="1:16" x14ac:dyDescent="0.3">
      <c r="A774" t="s">
        <v>65</v>
      </c>
      <c r="B774" t="s">
        <v>19</v>
      </c>
      <c r="C774" t="s">
        <v>19</v>
      </c>
      <c r="D774" t="s">
        <v>15</v>
      </c>
      <c r="E774" t="s">
        <v>76</v>
      </c>
      <c r="F774" t="s">
        <v>9</v>
      </c>
      <c r="G774" s="15">
        <v>128.71</v>
      </c>
      <c r="H774" t="s">
        <v>26</v>
      </c>
      <c r="I774">
        <v>2</v>
      </c>
      <c r="J774" t="s">
        <v>47</v>
      </c>
      <c r="K774" t="s">
        <v>45</v>
      </c>
      <c r="L774" t="s">
        <v>46</v>
      </c>
      <c r="M774" t="s">
        <v>64</v>
      </c>
      <c r="N774" s="15">
        <v>126.51</v>
      </c>
      <c r="O774" s="16">
        <v>1.7</v>
      </c>
      <c r="P774">
        <v>0</v>
      </c>
    </row>
    <row r="775" spans="1:16" x14ac:dyDescent="0.3">
      <c r="A775" t="s">
        <v>57</v>
      </c>
      <c r="B775" t="s">
        <v>19</v>
      </c>
      <c r="C775" t="s">
        <v>19</v>
      </c>
      <c r="D775" t="s">
        <v>8</v>
      </c>
      <c r="E775" t="s">
        <v>74</v>
      </c>
      <c r="F775" t="s">
        <v>9</v>
      </c>
      <c r="G775" s="15">
        <v>76.22</v>
      </c>
      <c r="H775" t="s">
        <v>26</v>
      </c>
      <c r="I775">
        <v>2</v>
      </c>
      <c r="J775" t="s">
        <v>48</v>
      </c>
      <c r="K775" t="s">
        <v>45</v>
      </c>
      <c r="L775" t="s">
        <v>45</v>
      </c>
      <c r="M775" t="s">
        <v>64</v>
      </c>
      <c r="N775" s="15">
        <v>83.41</v>
      </c>
      <c r="O775" s="16">
        <v>-8.6</v>
      </c>
      <c r="P775">
        <v>0</v>
      </c>
    </row>
    <row r="776" spans="1:16" x14ac:dyDescent="0.3">
      <c r="A776" t="s">
        <v>65</v>
      </c>
      <c r="B776" t="s">
        <v>21</v>
      </c>
      <c r="C776" t="s">
        <v>62</v>
      </c>
      <c r="D776" t="s">
        <v>11</v>
      </c>
      <c r="E776" t="s">
        <v>70</v>
      </c>
      <c r="F776" t="s">
        <v>9</v>
      </c>
      <c r="G776" s="15">
        <v>38</v>
      </c>
      <c r="H776" t="s">
        <v>25</v>
      </c>
      <c r="I776">
        <v>1</v>
      </c>
      <c r="J776" t="s">
        <v>48</v>
      </c>
      <c r="K776" t="s">
        <v>46</v>
      </c>
      <c r="L776" t="s">
        <v>46</v>
      </c>
      <c r="M776" t="s">
        <v>64</v>
      </c>
      <c r="N776" s="15">
        <v>32.630000000000003</v>
      </c>
      <c r="O776" s="16">
        <v>16.5</v>
      </c>
      <c r="P776">
        <v>1</v>
      </c>
    </row>
    <row r="777" spans="1:16" x14ac:dyDescent="0.3">
      <c r="A777" t="s">
        <v>60</v>
      </c>
      <c r="B777" t="s">
        <v>19</v>
      </c>
      <c r="C777" t="s">
        <v>19</v>
      </c>
      <c r="D777" t="s">
        <v>14</v>
      </c>
      <c r="E777" t="s">
        <v>71</v>
      </c>
      <c r="F777" t="s">
        <v>9</v>
      </c>
      <c r="G777" s="15">
        <v>65.72</v>
      </c>
      <c r="H777" t="s">
        <v>26</v>
      </c>
      <c r="I777">
        <v>2</v>
      </c>
      <c r="J777" t="s">
        <v>48</v>
      </c>
      <c r="K777" t="s">
        <v>45</v>
      </c>
      <c r="L777" t="s">
        <v>45</v>
      </c>
      <c r="M777" t="s">
        <v>78</v>
      </c>
      <c r="N777" s="15">
        <v>65.239999999999995</v>
      </c>
      <c r="O777" s="16">
        <v>0.7</v>
      </c>
      <c r="P777">
        <v>0</v>
      </c>
    </row>
    <row r="778" spans="1:16" x14ac:dyDescent="0.3">
      <c r="A778" t="s">
        <v>65</v>
      </c>
      <c r="B778" t="s">
        <v>19</v>
      </c>
      <c r="C778" t="s">
        <v>19</v>
      </c>
      <c r="D778" t="s">
        <v>11</v>
      </c>
      <c r="E778" t="s">
        <v>70</v>
      </c>
      <c r="F778" t="s">
        <v>9</v>
      </c>
      <c r="G778" s="15">
        <v>33.24</v>
      </c>
      <c r="H778" t="s">
        <v>26</v>
      </c>
      <c r="I778">
        <v>2</v>
      </c>
      <c r="J778" t="s">
        <v>47</v>
      </c>
      <c r="K778" t="s">
        <v>45</v>
      </c>
      <c r="L778" t="s">
        <v>46</v>
      </c>
      <c r="M778" t="s">
        <v>72</v>
      </c>
      <c r="N778" s="15">
        <v>32.630000000000003</v>
      </c>
      <c r="O778" s="16">
        <v>1.9</v>
      </c>
      <c r="P778">
        <v>0</v>
      </c>
    </row>
    <row r="779" spans="1:16" x14ac:dyDescent="0.3">
      <c r="A779" t="s">
        <v>60</v>
      </c>
      <c r="B779" t="s">
        <v>22</v>
      </c>
      <c r="C779" t="s">
        <v>22</v>
      </c>
      <c r="D779" t="s">
        <v>8</v>
      </c>
      <c r="E779" t="s">
        <v>73</v>
      </c>
      <c r="F779" t="s">
        <v>9</v>
      </c>
      <c r="G779" s="15">
        <v>86.28</v>
      </c>
      <c r="H779" t="s">
        <v>26</v>
      </c>
      <c r="I779">
        <v>2</v>
      </c>
      <c r="J779" t="s">
        <v>48</v>
      </c>
      <c r="K779" t="s">
        <v>46</v>
      </c>
      <c r="L779" t="s">
        <v>45</v>
      </c>
      <c r="M779" t="s">
        <v>68</v>
      </c>
      <c r="N779" s="15">
        <v>82.04</v>
      </c>
      <c r="O779" s="16">
        <v>5.2</v>
      </c>
      <c r="P779">
        <v>0</v>
      </c>
    </row>
    <row r="780" spans="1:16" x14ac:dyDescent="0.3">
      <c r="A780" t="s">
        <v>65</v>
      </c>
      <c r="B780" t="s">
        <v>19</v>
      </c>
      <c r="C780" t="s">
        <v>19</v>
      </c>
      <c r="D780" t="s">
        <v>14</v>
      </c>
      <c r="E780" t="s">
        <v>71</v>
      </c>
      <c r="F780" t="s">
        <v>9</v>
      </c>
      <c r="G780" s="15">
        <v>77.42</v>
      </c>
      <c r="H780" t="s">
        <v>26</v>
      </c>
      <c r="I780">
        <v>2</v>
      </c>
      <c r="J780" t="s">
        <v>47</v>
      </c>
      <c r="K780" t="s">
        <v>45</v>
      </c>
      <c r="L780" t="s">
        <v>46</v>
      </c>
      <c r="M780" t="s">
        <v>72</v>
      </c>
      <c r="N780" s="15">
        <v>71.77</v>
      </c>
      <c r="O780" s="16">
        <v>7.9</v>
      </c>
      <c r="P780">
        <v>0</v>
      </c>
    </row>
    <row r="781" spans="1:16" x14ac:dyDescent="0.3">
      <c r="A781" t="s">
        <v>60</v>
      </c>
      <c r="B781" t="s">
        <v>21</v>
      </c>
      <c r="C781" t="s">
        <v>62</v>
      </c>
      <c r="D781" t="s">
        <v>10</v>
      </c>
      <c r="E781" t="s">
        <v>69</v>
      </c>
      <c r="F781" t="s">
        <v>9</v>
      </c>
      <c r="G781" s="15">
        <v>146.91</v>
      </c>
      <c r="H781" t="s">
        <v>25</v>
      </c>
      <c r="I781">
        <v>1</v>
      </c>
      <c r="J781" t="s">
        <v>48</v>
      </c>
      <c r="K781" t="s">
        <v>45</v>
      </c>
      <c r="L781" t="s">
        <v>45</v>
      </c>
      <c r="M781" t="s">
        <v>72</v>
      </c>
      <c r="N781" s="15">
        <v>158.6</v>
      </c>
      <c r="O781" s="16">
        <v>-7.4</v>
      </c>
      <c r="P781">
        <v>0</v>
      </c>
    </row>
    <row r="782" spans="1:16" x14ac:dyDescent="0.3">
      <c r="A782" t="s">
        <v>57</v>
      </c>
      <c r="B782" t="s">
        <v>22</v>
      </c>
      <c r="C782" t="s">
        <v>22</v>
      </c>
      <c r="D782" t="s">
        <v>8</v>
      </c>
      <c r="E782" t="s">
        <v>74</v>
      </c>
      <c r="F782" t="s">
        <v>9</v>
      </c>
      <c r="G782" s="15">
        <v>99.79</v>
      </c>
      <c r="H782" t="s">
        <v>27</v>
      </c>
      <c r="I782">
        <v>3</v>
      </c>
      <c r="J782" t="s">
        <v>47</v>
      </c>
      <c r="K782" t="s">
        <v>45</v>
      </c>
      <c r="L782" t="s">
        <v>45</v>
      </c>
      <c r="M782" t="s">
        <v>72</v>
      </c>
      <c r="N782" s="15">
        <v>83.41</v>
      </c>
      <c r="O782" s="16">
        <v>19.600000000000001</v>
      </c>
      <c r="P782">
        <v>1</v>
      </c>
    </row>
    <row r="783" spans="1:16" x14ac:dyDescent="0.3">
      <c r="A783" t="s">
        <v>60</v>
      </c>
      <c r="B783" t="s">
        <v>20</v>
      </c>
      <c r="C783" t="s">
        <v>20</v>
      </c>
      <c r="D783" t="s">
        <v>10</v>
      </c>
      <c r="E783" t="s">
        <v>69</v>
      </c>
      <c r="F783" t="s">
        <v>9</v>
      </c>
      <c r="G783" s="15">
        <v>158.6</v>
      </c>
      <c r="H783" t="s">
        <v>26</v>
      </c>
      <c r="I783">
        <v>2</v>
      </c>
      <c r="J783" t="s">
        <v>48</v>
      </c>
      <c r="K783" t="s">
        <v>46</v>
      </c>
      <c r="L783" t="s">
        <v>45</v>
      </c>
      <c r="M783" t="s">
        <v>78</v>
      </c>
      <c r="N783" s="15">
        <v>158.6</v>
      </c>
      <c r="O783" s="16">
        <v>0</v>
      </c>
      <c r="P783">
        <v>0</v>
      </c>
    </row>
    <row r="784" spans="1:16" x14ac:dyDescent="0.3">
      <c r="A784" t="s">
        <v>57</v>
      </c>
      <c r="B784" t="s">
        <v>17</v>
      </c>
      <c r="C784" t="s">
        <v>17</v>
      </c>
      <c r="D784" t="s">
        <v>14</v>
      </c>
      <c r="E784" t="s">
        <v>71</v>
      </c>
      <c r="F784" t="s">
        <v>9</v>
      </c>
      <c r="G784" s="15">
        <v>70.44</v>
      </c>
      <c r="H784" t="s">
        <v>25</v>
      </c>
      <c r="I784">
        <v>1</v>
      </c>
      <c r="J784" t="s">
        <v>48</v>
      </c>
      <c r="K784" t="s">
        <v>46</v>
      </c>
      <c r="L784" t="s">
        <v>45</v>
      </c>
      <c r="M784" t="s">
        <v>61</v>
      </c>
      <c r="N784" s="15">
        <v>65.77</v>
      </c>
      <c r="O784" s="16">
        <v>7.1</v>
      </c>
      <c r="P784">
        <v>0</v>
      </c>
    </row>
    <row r="785" spans="1:16" x14ac:dyDescent="0.3">
      <c r="A785" t="s">
        <v>57</v>
      </c>
      <c r="B785" t="s">
        <v>18</v>
      </c>
      <c r="C785" t="s">
        <v>18</v>
      </c>
      <c r="D785" t="s">
        <v>14</v>
      </c>
      <c r="E785" t="s">
        <v>71</v>
      </c>
      <c r="F785" t="s">
        <v>9</v>
      </c>
      <c r="G785" s="15">
        <v>66.5</v>
      </c>
      <c r="H785" t="s">
        <v>26</v>
      </c>
      <c r="I785">
        <v>2</v>
      </c>
      <c r="J785" t="s">
        <v>48</v>
      </c>
      <c r="K785" t="s">
        <v>46</v>
      </c>
      <c r="L785" t="s">
        <v>45</v>
      </c>
      <c r="M785" t="s">
        <v>59</v>
      </c>
      <c r="N785" s="15">
        <v>65.77</v>
      </c>
      <c r="O785" s="16">
        <v>1.1000000000000001</v>
      </c>
      <c r="P785">
        <v>0</v>
      </c>
    </row>
    <row r="786" spans="1:16" x14ac:dyDescent="0.3">
      <c r="A786" t="s">
        <v>57</v>
      </c>
      <c r="B786" t="s">
        <v>22</v>
      </c>
      <c r="C786" t="s">
        <v>22</v>
      </c>
      <c r="D786" t="s">
        <v>12</v>
      </c>
      <c r="E786" t="s">
        <v>80</v>
      </c>
      <c r="F786" t="s">
        <v>13</v>
      </c>
      <c r="G786" s="15">
        <v>188.31</v>
      </c>
      <c r="H786" t="s">
        <v>25</v>
      </c>
      <c r="I786">
        <v>1</v>
      </c>
      <c r="J786" t="s">
        <v>48</v>
      </c>
      <c r="K786" t="s">
        <v>45</v>
      </c>
      <c r="L786" t="s">
        <v>46</v>
      </c>
      <c r="M786" t="s">
        <v>64</v>
      </c>
      <c r="N786" s="15">
        <v>162.72999999999999</v>
      </c>
      <c r="O786" s="16">
        <v>15.7</v>
      </c>
      <c r="P786">
        <v>1</v>
      </c>
    </row>
    <row r="787" spans="1:16" x14ac:dyDescent="0.3">
      <c r="A787" t="s">
        <v>65</v>
      </c>
      <c r="B787" t="s">
        <v>22</v>
      </c>
      <c r="C787" t="s">
        <v>22</v>
      </c>
      <c r="D787" t="s">
        <v>12</v>
      </c>
      <c r="E787" t="s">
        <v>80</v>
      </c>
      <c r="F787" t="s">
        <v>13</v>
      </c>
      <c r="G787" s="15">
        <v>177.52</v>
      </c>
      <c r="H787" t="s">
        <v>26</v>
      </c>
      <c r="I787">
        <v>2</v>
      </c>
      <c r="J787" t="s">
        <v>47</v>
      </c>
      <c r="K787" t="s">
        <v>45</v>
      </c>
      <c r="L787" t="s">
        <v>45</v>
      </c>
      <c r="M787" t="s">
        <v>67</v>
      </c>
      <c r="N787" s="15">
        <v>176.57</v>
      </c>
      <c r="O787" s="16">
        <v>0.5</v>
      </c>
      <c r="P787">
        <v>0</v>
      </c>
    </row>
    <row r="788" spans="1:16" x14ac:dyDescent="0.3">
      <c r="A788" t="s">
        <v>57</v>
      </c>
      <c r="B788" t="s">
        <v>22</v>
      </c>
      <c r="C788" t="s">
        <v>22</v>
      </c>
      <c r="D788" t="s">
        <v>10</v>
      </c>
      <c r="E788" t="s">
        <v>69</v>
      </c>
      <c r="F788" t="s">
        <v>9</v>
      </c>
      <c r="G788" s="15">
        <v>100</v>
      </c>
      <c r="H788" t="s">
        <v>26</v>
      </c>
      <c r="I788">
        <v>2</v>
      </c>
      <c r="J788" t="s">
        <v>48</v>
      </c>
      <c r="K788" t="s">
        <v>46</v>
      </c>
      <c r="L788" t="s">
        <v>45</v>
      </c>
      <c r="M788" t="s">
        <v>78</v>
      </c>
      <c r="N788" s="15">
        <v>150.38999999999999</v>
      </c>
      <c r="O788" s="16">
        <v>-33.5</v>
      </c>
      <c r="P788">
        <v>0</v>
      </c>
    </row>
    <row r="789" spans="1:16" x14ac:dyDescent="0.3">
      <c r="A789" t="s">
        <v>57</v>
      </c>
      <c r="B789" t="s">
        <v>22</v>
      </c>
      <c r="C789" t="s">
        <v>22</v>
      </c>
      <c r="D789" t="s">
        <v>14</v>
      </c>
      <c r="E789" t="s">
        <v>63</v>
      </c>
      <c r="F789" t="s">
        <v>9</v>
      </c>
      <c r="G789" s="15">
        <v>57.24</v>
      </c>
      <c r="H789" t="s">
        <v>26</v>
      </c>
      <c r="I789">
        <v>2</v>
      </c>
      <c r="J789" t="s">
        <v>48</v>
      </c>
      <c r="K789" t="s">
        <v>46</v>
      </c>
      <c r="L789" t="s">
        <v>45</v>
      </c>
      <c r="M789" t="s">
        <v>67</v>
      </c>
      <c r="N789" s="15">
        <v>65.16</v>
      </c>
      <c r="O789" s="16">
        <v>-12.2</v>
      </c>
      <c r="P789">
        <v>0</v>
      </c>
    </row>
    <row r="790" spans="1:16" x14ac:dyDescent="0.3">
      <c r="A790" t="s">
        <v>60</v>
      </c>
      <c r="B790" t="s">
        <v>19</v>
      </c>
      <c r="C790" t="s">
        <v>19</v>
      </c>
      <c r="D790" t="s">
        <v>11</v>
      </c>
      <c r="E790" t="s">
        <v>79</v>
      </c>
      <c r="F790" t="s">
        <v>9</v>
      </c>
      <c r="G790" s="15">
        <v>26.76</v>
      </c>
      <c r="H790" t="s">
        <v>26</v>
      </c>
      <c r="I790">
        <v>2</v>
      </c>
      <c r="J790" t="s">
        <v>48</v>
      </c>
      <c r="K790" t="s">
        <v>45</v>
      </c>
      <c r="L790" t="s">
        <v>45</v>
      </c>
      <c r="M790" t="s">
        <v>68</v>
      </c>
      <c r="N790" s="15">
        <v>29.14</v>
      </c>
      <c r="O790" s="16">
        <v>-8.1999999999999993</v>
      </c>
      <c r="P790">
        <v>0</v>
      </c>
    </row>
    <row r="791" spans="1:16" x14ac:dyDescent="0.3">
      <c r="A791" t="s">
        <v>60</v>
      </c>
      <c r="B791" t="s">
        <v>18</v>
      </c>
      <c r="C791" t="s">
        <v>18</v>
      </c>
      <c r="D791" t="s">
        <v>11</v>
      </c>
      <c r="E791" t="s">
        <v>70</v>
      </c>
      <c r="F791" t="s">
        <v>9</v>
      </c>
      <c r="G791" s="15">
        <v>25.66</v>
      </c>
      <c r="H791" t="s">
        <v>25</v>
      </c>
      <c r="I791">
        <v>1</v>
      </c>
      <c r="J791" t="s">
        <v>47</v>
      </c>
      <c r="K791" t="s">
        <v>46</v>
      </c>
      <c r="L791" t="s">
        <v>45</v>
      </c>
      <c r="M791" t="s">
        <v>67</v>
      </c>
      <c r="N791" s="15">
        <v>31.4</v>
      </c>
      <c r="O791" s="16">
        <v>-18.3</v>
      </c>
      <c r="P791">
        <v>0</v>
      </c>
    </row>
    <row r="792" spans="1:16" x14ac:dyDescent="0.3">
      <c r="A792" t="s">
        <v>60</v>
      </c>
      <c r="B792" t="s">
        <v>19</v>
      </c>
      <c r="C792" t="s">
        <v>19</v>
      </c>
      <c r="D792" t="s">
        <v>8</v>
      </c>
      <c r="E792" t="s">
        <v>73</v>
      </c>
      <c r="F792" t="s">
        <v>9</v>
      </c>
      <c r="G792" s="15">
        <v>82.25</v>
      </c>
      <c r="H792" t="s">
        <v>27</v>
      </c>
      <c r="I792">
        <v>3</v>
      </c>
      <c r="J792" t="s">
        <v>47</v>
      </c>
      <c r="K792" t="s">
        <v>46</v>
      </c>
      <c r="L792" t="s">
        <v>45</v>
      </c>
      <c r="M792" t="s">
        <v>64</v>
      </c>
      <c r="N792" s="15">
        <v>82.04</v>
      </c>
      <c r="O792" s="16">
        <v>0.3</v>
      </c>
      <c r="P792">
        <v>0</v>
      </c>
    </row>
    <row r="793" spans="1:16" x14ac:dyDescent="0.3">
      <c r="A793" t="s">
        <v>60</v>
      </c>
      <c r="B793" t="s">
        <v>22</v>
      </c>
      <c r="C793" t="s">
        <v>22</v>
      </c>
      <c r="D793" t="s">
        <v>11</v>
      </c>
      <c r="E793" t="s">
        <v>79</v>
      </c>
      <c r="F793" t="s">
        <v>9</v>
      </c>
      <c r="G793" s="15">
        <v>28.68</v>
      </c>
      <c r="H793" t="s">
        <v>27</v>
      </c>
      <c r="I793">
        <v>3</v>
      </c>
      <c r="J793" t="s">
        <v>48</v>
      </c>
      <c r="K793" t="s">
        <v>46</v>
      </c>
      <c r="L793" t="s">
        <v>45</v>
      </c>
      <c r="M793" t="s">
        <v>61</v>
      </c>
      <c r="N793" s="15">
        <v>29.14</v>
      </c>
      <c r="O793" s="16">
        <v>-1.6</v>
      </c>
      <c r="P793">
        <v>0</v>
      </c>
    </row>
    <row r="794" spans="1:16" x14ac:dyDescent="0.3">
      <c r="A794" t="s">
        <v>60</v>
      </c>
      <c r="B794" t="s">
        <v>18</v>
      </c>
      <c r="C794" t="s">
        <v>18</v>
      </c>
      <c r="D794" t="s">
        <v>14</v>
      </c>
      <c r="E794" t="s">
        <v>63</v>
      </c>
      <c r="F794" t="s">
        <v>9</v>
      </c>
      <c r="G794" s="15">
        <v>63.83</v>
      </c>
      <c r="H794" t="s">
        <v>26</v>
      </c>
      <c r="I794">
        <v>2</v>
      </c>
      <c r="J794" t="s">
        <v>48</v>
      </c>
      <c r="K794" t="s">
        <v>46</v>
      </c>
      <c r="L794" t="s">
        <v>45</v>
      </c>
      <c r="M794" t="s">
        <v>67</v>
      </c>
      <c r="N794" s="15">
        <v>66.680000000000007</v>
      </c>
      <c r="O794" s="16">
        <v>-4.3</v>
      </c>
      <c r="P794">
        <v>0</v>
      </c>
    </row>
    <row r="795" spans="1:16" x14ac:dyDescent="0.3">
      <c r="A795" t="s">
        <v>65</v>
      </c>
      <c r="B795" t="s">
        <v>21</v>
      </c>
      <c r="C795" t="s">
        <v>62</v>
      </c>
      <c r="D795" t="s">
        <v>15</v>
      </c>
      <c r="E795" t="s">
        <v>75</v>
      </c>
      <c r="F795" t="s">
        <v>9</v>
      </c>
      <c r="G795" s="15">
        <v>119.95</v>
      </c>
      <c r="H795" t="s">
        <v>27</v>
      </c>
      <c r="I795">
        <v>3</v>
      </c>
      <c r="J795" t="s">
        <v>48</v>
      </c>
      <c r="K795" t="s">
        <v>45</v>
      </c>
      <c r="L795" t="s">
        <v>46</v>
      </c>
      <c r="M795" t="s">
        <v>59</v>
      </c>
      <c r="N795" s="15">
        <v>126.9</v>
      </c>
      <c r="O795" s="16">
        <v>-5.5</v>
      </c>
      <c r="P795">
        <v>0</v>
      </c>
    </row>
    <row r="796" spans="1:16" x14ac:dyDescent="0.3">
      <c r="A796" t="s">
        <v>65</v>
      </c>
      <c r="B796" t="s">
        <v>17</v>
      </c>
      <c r="C796" t="s">
        <v>17</v>
      </c>
      <c r="D796" t="s">
        <v>15</v>
      </c>
      <c r="E796" t="s">
        <v>75</v>
      </c>
      <c r="F796" t="s">
        <v>9</v>
      </c>
      <c r="G796" s="15">
        <v>140</v>
      </c>
      <c r="H796" t="s">
        <v>26</v>
      </c>
      <c r="I796">
        <v>2</v>
      </c>
      <c r="J796" t="s">
        <v>47</v>
      </c>
      <c r="K796" t="s">
        <v>45</v>
      </c>
      <c r="L796" t="s">
        <v>46</v>
      </c>
      <c r="M796" t="s">
        <v>72</v>
      </c>
      <c r="N796" s="15">
        <v>126.9</v>
      </c>
      <c r="O796" s="16">
        <v>10.3</v>
      </c>
      <c r="P796">
        <v>0</v>
      </c>
    </row>
    <row r="797" spans="1:16" x14ac:dyDescent="0.3">
      <c r="A797" t="s">
        <v>65</v>
      </c>
      <c r="B797" t="s">
        <v>21</v>
      </c>
      <c r="C797" t="s">
        <v>62</v>
      </c>
      <c r="D797" t="s">
        <v>10</v>
      </c>
      <c r="E797" t="s">
        <v>69</v>
      </c>
      <c r="F797" t="s">
        <v>9</v>
      </c>
      <c r="G797" s="15">
        <v>173.34</v>
      </c>
      <c r="H797" t="s">
        <v>26</v>
      </c>
      <c r="I797">
        <v>2</v>
      </c>
      <c r="J797" t="s">
        <v>44</v>
      </c>
      <c r="K797" t="s">
        <v>45</v>
      </c>
      <c r="L797" t="s">
        <v>46</v>
      </c>
      <c r="M797" t="s">
        <v>67</v>
      </c>
      <c r="N797" s="15">
        <v>158.91999999999999</v>
      </c>
      <c r="O797" s="16">
        <v>9.1</v>
      </c>
      <c r="P797">
        <v>0</v>
      </c>
    </row>
    <row r="798" spans="1:16" x14ac:dyDescent="0.3">
      <c r="A798" t="s">
        <v>60</v>
      </c>
      <c r="B798" t="s">
        <v>17</v>
      </c>
      <c r="C798" t="s">
        <v>17</v>
      </c>
      <c r="D798" t="s">
        <v>8</v>
      </c>
      <c r="E798" t="s">
        <v>74</v>
      </c>
      <c r="F798" t="s">
        <v>9</v>
      </c>
      <c r="G798" s="15">
        <v>82.68</v>
      </c>
      <c r="H798" t="s">
        <v>26</v>
      </c>
      <c r="I798">
        <v>2</v>
      </c>
      <c r="J798" t="s">
        <v>48</v>
      </c>
      <c r="K798" t="s">
        <v>45</v>
      </c>
      <c r="L798" t="s">
        <v>45</v>
      </c>
      <c r="M798" t="s">
        <v>68</v>
      </c>
      <c r="N798" s="15">
        <v>78.260000000000005</v>
      </c>
      <c r="O798" s="16">
        <v>5.6</v>
      </c>
      <c r="P798">
        <v>0</v>
      </c>
    </row>
    <row r="799" spans="1:16" x14ac:dyDescent="0.3">
      <c r="A799" t="s">
        <v>65</v>
      </c>
      <c r="B799" t="s">
        <v>19</v>
      </c>
      <c r="C799" t="s">
        <v>19</v>
      </c>
      <c r="D799" t="s">
        <v>14</v>
      </c>
      <c r="E799" t="s">
        <v>63</v>
      </c>
      <c r="F799" t="s">
        <v>9</v>
      </c>
      <c r="G799" s="15">
        <v>72.180000000000007</v>
      </c>
      <c r="H799" t="s">
        <v>25</v>
      </c>
      <c r="I799">
        <v>1</v>
      </c>
      <c r="J799" t="s">
        <v>48</v>
      </c>
      <c r="K799" t="s">
        <v>46</v>
      </c>
      <c r="L799" t="s">
        <v>46</v>
      </c>
      <c r="M799" t="s">
        <v>68</v>
      </c>
      <c r="N799" s="15">
        <v>68.150000000000006</v>
      </c>
      <c r="O799" s="16">
        <v>5.9</v>
      </c>
      <c r="P799">
        <v>0</v>
      </c>
    </row>
    <row r="800" spans="1:16" x14ac:dyDescent="0.3">
      <c r="A800" t="s">
        <v>65</v>
      </c>
      <c r="B800" t="s">
        <v>20</v>
      </c>
      <c r="C800" t="s">
        <v>20</v>
      </c>
      <c r="D800" t="s">
        <v>14</v>
      </c>
      <c r="E800" t="s">
        <v>63</v>
      </c>
      <c r="F800" t="s">
        <v>9</v>
      </c>
      <c r="G800" s="15">
        <v>68.150000000000006</v>
      </c>
      <c r="H800" t="s">
        <v>26</v>
      </c>
      <c r="I800">
        <v>2</v>
      </c>
      <c r="J800" t="s">
        <v>47</v>
      </c>
      <c r="K800" t="s">
        <v>45</v>
      </c>
      <c r="L800" t="s">
        <v>45</v>
      </c>
      <c r="M800" t="s">
        <v>72</v>
      </c>
      <c r="N800" s="15">
        <v>68.150000000000006</v>
      </c>
      <c r="O800" s="16">
        <v>0</v>
      </c>
      <c r="P800">
        <v>0</v>
      </c>
    </row>
    <row r="801" spans="1:16" x14ac:dyDescent="0.3">
      <c r="A801" t="s">
        <v>57</v>
      </c>
      <c r="B801" t="s">
        <v>19</v>
      </c>
      <c r="C801" t="s">
        <v>19</v>
      </c>
      <c r="D801" t="s">
        <v>15</v>
      </c>
      <c r="E801" t="s">
        <v>76</v>
      </c>
      <c r="F801" t="s">
        <v>9</v>
      </c>
      <c r="G801" s="15">
        <v>129.68</v>
      </c>
      <c r="H801" t="s">
        <v>26</v>
      </c>
      <c r="I801">
        <v>2</v>
      </c>
      <c r="J801" t="s">
        <v>48</v>
      </c>
      <c r="K801" t="s">
        <v>45</v>
      </c>
      <c r="L801" t="s">
        <v>45</v>
      </c>
      <c r="M801" t="s">
        <v>68</v>
      </c>
      <c r="N801" s="15">
        <v>118.59</v>
      </c>
      <c r="O801" s="16">
        <v>9.4</v>
      </c>
      <c r="P801">
        <v>0</v>
      </c>
    </row>
    <row r="802" spans="1:16" x14ac:dyDescent="0.3">
      <c r="A802" t="s">
        <v>57</v>
      </c>
      <c r="B802" t="s">
        <v>22</v>
      </c>
      <c r="C802" t="s">
        <v>22</v>
      </c>
      <c r="D802" t="s">
        <v>11</v>
      </c>
      <c r="E802" t="s">
        <v>79</v>
      </c>
      <c r="F802" t="s">
        <v>9</v>
      </c>
      <c r="G802" s="15">
        <v>26.18</v>
      </c>
      <c r="H802" t="s">
        <v>26</v>
      </c>
      <c r="I802">
        <v>2</v>
      </c>
      <c r="J802" t="s">
        <v>47</v>
      </c>
      <c r="K802" t="s">
        <v>45</v>
      </c>
      <c r="L802" t="s">
        <v>45</v>
      </c>
      <c r="M802" t="s">
        <v>67</v>
      </c>
      <c r="N802" s="15">
        <v>30.93</v>
      </c>
      <c r="O802" s="16">
        <v>-15.4</v>
      </c>
      <c r="P802">
        <v>0</v>
      </c>
    </row>
    <row r="803" spans="1:16" x14ac:dyDescent="0.3">
      <c r="A803" t="s">
        <v>65</v>
      </c>
      <c r="B803" t="s">
        <v>19</v>
      </c>
      <c r="C803" t="s">
        <v>19</v>
      </c>
      <c r="D803" t="s">
        <v>11</v>
      </c>
      <c r="E803" t="s">
        <v>79</v>
      </c>
      <c r="F803" t="s">
        <v>9</v>
      </c>
      <c r="G803" s="15">
        <v>28.77</v>
      </c>
      <c r="H803" t="s">
        <v>26</v>
      </c>
      <c r="I803">
        <v>2</v>
      </c>
      <c r="J803" t="s">
        <v>48</v>
      </c>
      <c r="K803" t="s">
        <v>45</v>
      </c>
      <c r="L803" t="s">
        <v>45</v>
      </c>
      <c r="M803" t="s">
        <v>72</v>
      </c>
      <c r="N803" s="15">
        <v>33.39</v>
      </c>
      <c r="O803" s="16">
        <v>-13.8</v>
      </c>
      <c r="P803">
        <v>0</v>
      </c>
    </row>
    <row r="804" spans="1:16" x14ac:dyDescent="0.3">
      <c r="A804" t="s">
        <v>65</v>
      </c>
      <c r="B804" t="s">
        <v>21</v>
      </c>
      <c r="C804" t="s">
        <v>62</v>
      </c>
      <c r="D804" t="s">
        <v>15</v>
      </c>
      <c r="E804" t="s">
        <v>75</v>
      </c>
      <c r="F804" t="s">
        <v>9</v>
      </c>
      <c r="G804" s="15">
        <v>115.68</v>
      </c>
      <c r="H804" t="s">
        <v>26</v>
      </c>
      <c r="I804">
        <v>2</v>
      </c>
      <c r="J804" t="s">
        <v>47</v>
      </c>
      <c r="K804" t="s">
        <v>46</v>
      </c>
      <c r="L804" t="s">
        <v>45</v>
      </c>
      <c r="M804" t="s">
        <v>61</v>
      </c>
      <c r="N804" s="15">
        <v>126.9</v>
      </c>
      <c r="O804" s="16">
        <v>-8.8000000000000007</v>
      </c>
      <c r="P804">
        <v>0</v>
      </c>
    </row>
    <row r="805" spans="1:16" x14ac:dyDescent="0.3">
      <c r="A805" t="s">
        <v>60</v>
      </c>
      <c r="B805" t="s">
        <v>17</v>
      </c>
      <c r="C805" t="s">
        <v>17</v>
      </c>
      <c r="D805" t="s">
        <v>14</v>
      </c>
      <c r="E805" t="s">
        <v>63</v>
      </c>
      <c r="F805" t="s">
        <v>9</v>
      </c>
      <c r="G805" s="15">
        <v>71.13</v>
      </c>
      <c r="H805" t="s">
        <v>26</v>
      </c>
      <c r="I805">
        <v>2</v>
      </c>
      <c r="J805" t="s">
        <v>48</v>
      </c>
      <c r="K805" t="s">
        <v>45</v>
      </c>
      <c r="L805" t="s">
        <v>45</v>
      </c>
      <c r="M805" t="s">
        <v>59</v>
      </c>
      <c r="N805" s="15">
        <v>66.680000000000007</v>
      </c>
      <c r="O805" s="16">
        <v>6.7</v>
      </c>
      <c r="P805">
        <v>0</v>
      </c>
    </row>
    <row r="806" spans="1:16" x14ac:dyDescent="0.3">
      <c r="A806" t="s">
        <v>65</v>
      </c>
      <c r="B806" t="s">
        <v>19</v>
      </c>
      <c r="C806" t="s">
        <v>19</v>
      </c>
      <c r="D806" t="s">
        <v>14</v>
      </c>
      <c r="E806" t="s">
        <v>63</v>
      </c>
      <c r="F806" t="s">
        <v>9</v>
      </c>
      <c r="G806" s="15">
        <v>63.76</v>
      </c>
      <c r="H806" t="s">
        <v>27</v>
      </c>
      <c r="I806">
        <v>3</v>
      </c>
      <c r="J806" t="s">
        <v>48</v>
      </c>
      <c r="K806" t="s">
        <v>45</v>
      </c>
      <c r="L806" t="s">
        <v>46</v>
      </c>
      <c r="M806" t="s">
        <v>68</v>
      </c>
      <c r="N806" s="15">
        <v>68.150000000000006</v>
      </c>
      <c r="O806" s="16">
        <v>-6.4</v>
      </c>
      <c r="P806">
        <v>0</v>
      </c>
    </row>
    <row r="807" spans="1:16" x14ac:dyDescent="0.3">
      <c r="A807" t="s">
        <v>65</v>
      </c>
      <c r="B807" t="s">
        <v>22</v>
      </c>
      <c r="C807" t="s">
        <v>22</v>
      </c>
      <c r="D807" t="s">
        <v>8</v>
      </c>
      <c r="E807" t="s">
        <v>74</v>
      </c>
      <c r="F807" t="s">
        <v>9</v>
      </c>
      <c r="G807" s="15">
        <v>100.23</v>
      </c>
      <c r="H807" t="s">
        <v>26</v>
      </c>
      <c r="I807">
        <v>2</v>
      </c>
      <c r="J807" t="s">
        <v>47</v>
      </c>
      <c r="K807" t="s">
        <v>45</v>
      </c>
      <c r="L807" t="s">
        <v>46</v>
      </c>
      <c r="M807" t="s">
        <v>67</v>
      </c>
      <c r="N807" s="15">
        <v>91.13</v>
      </c>
      <c r="O807" s="16">
        <v>10</v>
      </c>
      <c r="P807">
        <v>0</v>
      </c>
    </row>
    <row r="808" spans="1:16" x14ac:dyDescent="0.3">
      <c r="A808" t="s">
        <v>65</v>
      </c>
      <c r="B808" t="s">
        <v>21</v>
      </c>
      <c r="C808" t="s">
        <v>62</v>
      </c>
      <c r="D808" t="s">
        <v>12</v>
      </c>
      <c r="E808" t="s">
        <v>80</v>
      </c>
      <c r="F808" t="s">
        <v>13</v>
      </c>
      <c r="G808" s="15">
        <v>174.06</v>
      </c>
      <c r="H808" t="s">
        <v>27</v>
      </c>
      <c r="I808">
        <v>3</v>
      </c>
      <c r="J808" t="s">
        <v>47</v>
      </c>
      <c r="K808" t="s">
        <v>46</v>
      </c>
      <c r="L808" t="s">
        <v>45</v>
      </c>
      <c r="M808" t="s">
        <v>59</v>
      </c>
      <c r="N808" s="15">
        <v>176.57</v>
      </c>
      <c r="O808" s="16">
        <v>-1.4</v>
      </c>
      <c r="P808">
        <v>0</v>
      </c>
    </row>
    <row r="809" spans="1:16" x14ac:dyDescent="0.3">
      <c r="A809" t="s">
        <v>60</v>
      </c>
      <c r="B809" t="s">
        <v>20</v>
      </c>
      <c r="C809" t="s">
        <v>20</v>
      </c>
      <c r="D809" t="s">
        <v>8</v>
      </c>
      <c r="E809" t="s">
        <v>73</v>
      </c>
      <c r="F809" t="s">
        <v>9</v>
      </c>
      <c r="G809" s="15">
        <v>78.02</v>
      </c>
      <c r="H809" t="s">
        <v>26</v>
      </c>
      <c r="I809">
        <v>2</v>
      </c>
      <c r="J809" t="s">
        <v>48</v>
      </c>
      <c r="K809" t="s">
        <v>46</v>
      </c>
      <c r="L809" t="s">
        <v>45</v>
      </c>
      <c r="M809" t="s">
        <v>68</v>
      </c>
      <c r="N809" s="15">
        <v>82.04</v>
      </c>
      <c r="O809" s="16">
        <v>-4.9000000000000004</v>
      </c>
      <c r="P809">
        <v>0</v>
      </c>
    </row>
    <row r="810" spans="1:16" x14ac:dyDescent="0.3">
      <c r="A810" t="s">
        <v>57</v>
      </c>
      <c r="B810" t="s">
        <v>22</v>
      </c>
      <c r="C810" t="s">
        <v>22</v>
      </c>
      <c r="D810" t="s">
        <v>14</v>
      </c>
      <c r="E810" t="s">
        <v>63</v>
      </c>
      <c r="F810" t="s">
        <v>9</v>
      </c>
      <c r="G810" s="15">
        <v>63.57</v>
      </c>
      <c r="H810" t="s">
        <v>25</v>
      </c>
      <c r="I810">
        <v>1</v>
      </c>
      <c r="J810" t="s">
        <v>48</v>
      </c>
      <c r="K810" t="s">
        <v>46</v>
      </c>
      <c r="L810" t="s">
        <v>45</v>
      </c>
      <c r="M810" t="s">
        <v>67</v>
      </c>
      <c r="N810" s="15">
        <v>65.16</v>
      </c>
      <c r="O810" s="16">
        <v>-2.4</v>
      </c>
      <c r="P810">
        <v>0</v>
      </c>
    </row>
    <row r="811" spans="1:16" x14ac:dyDescent="0.3">
      <c r="A811" t="s">
        <v>65</v>
      </c>
      <c r="B811" t="s">
        <v>21</v>
      </c>
      <c r="C811" t="s">
        <v>62</v>
      </c>
      <c r="D811" t="s">
        <v>12</v>
      </c>
      <c r="E811" t="s">
        <v>80</v>
      </c>
      <c r="F811" t="s">
        <v>13</v>
      </c>
      <c r="G811" s="15">
        <v>186.56</v>
      </c>
      <c r="H811" t="s">
        <v>27</v>
      </c>
      <c r="I811">
        <v>3</v>
      </c>
      <c r="J811" t="s">
        <v>47</v>
      </c>
      <c r="K811" t="s">
        <v>45</v>
      </c>
      <c r="L811" t="s">
        <v>45</v>
      </c>
      <c r="M811" t="s">
        <v>68</v>
      </c>
      <c r="N811" s="15">
        <v>176.57</v>
      </c>
      <c r="O811" s="16">
        <v>5.7</v>
      </c>
      <c r="P811">
        <v>0</v>
      </c>
    </row>
    <row r="812" spans="1:16" x14ac:dyDescent="0.3">
      <c r="A812" t="s">
        <v>57</v>
      </c>
      <c r="B812" t="s">
        <v>18</v>
      </c>
      <c r="C812" t="s">
        <v>18</v>
      </c>
      <c r="D812" t="s">
        <v>10</v>
      </c>
      <c r="E812" t="s">
        <v>58</v>
      </c>
      <c r="F812" t="s">
        <v>9</v>
      </c>
      <c r="G812" s="15">
        <v>188.42</v>
      </c>
      <c r="H812" t="s">
        <v>25</v>
      </c>
      <c r="I812">
        <v>1</v>
      </c>
      <c r="J812" t="s">
        <v>47</v>
      </c>
      <c r="K812" t="s">
        <v>46</v>
      </c>
      <c r="L812" t="s">
        <v>46</v>
      </c>
      <c r="M812" t="s">
        <v>67</v>
      </c>
      <c r="N812" s="15">
        <v>151.19</v>
      </c>
      <c r="O812" s="16">
        <v>24.6</v>
      </c>
      <c r="P812">
        <v>1</v>
      </c>
    </row>
    <row r="813" spans="1:16" x14ac:dyDescent="0.3">
      <c r="A813" t="s">
        <v>57</v>
      </c>
      <c r="B813" t="s">
        <v>17</v>
      </c>
      <c r="C813" t="s">
        <v>17</v>
      </c>
      <c r="D813" t="s">
        <v>15</v>
      </c>
      <c r="E813" t="s">
        <v>75</v>
      </c>
      <c r="F813" t="s">
        <v>9</v>
      </c>
      <c r="G813" s="15">
        <v>114.08</v>
      </c>
      <c r="H813" t="s">
        <v>26</v>
      </c>
      <c r="I813">
        <v>2</v>
      </c>
      <c r="J813" t="s">
        <v>48</v>
      </c>
      <c r="K813" t="s">
        <v>46</v>
      </c>
      <c r="L813" t="s">
        <v>45</v>
      </c>
      <c r="M813" t="s">
        <v>67</v>
      </c>
      <c r="N813" s="15">
        <v>120.06</v>
      </c>
      <c r="O813" s="16">
        <v>-5</v>
      </c>
      <c r="P813">
        <v>0</v>
      </c>
    </row>
    <row r="814" spans="1:16" x14ac:dyDescent="0.3">
      <c r="A814" t="s">
        <v>65</v>
      </c>
      <c r="B814" t="s">
        <v>20</v>
      </c>
      <c r="C814" t="s">
        <v>20</v>
      </c>
      <c r="D814" t="s">
        <v>14</v>
      </c>
      <c r="E814" t="s">
        <v>63</v>
      </c>
      <c r="F814" t="s">
        <v>9</v>
      </c>
      <c r="G814" s="15">
        <v>76.510000000000005</v>
      </c>
      <c r="H814" t="s">
        <v>25</v>
      </c>
      <c r="I814">
        <v>1</v>
      </c>
      <c r="J814" t="s">
        <v>44</v>
      </c>
      <c r="K814" t="s">
        <v>46</v>
      </c>
      <c r="L814" t="s">
        <v>46</v>
      </c>
      <c r="M814" t="s">
        <v>68</v>
      </c>
      <c r="N814" s="15">
        <v>68.150000000000006</v>
      </c>
      <c r="O814" s="16">
        <v>12.3</v>
      </c>
      <c r="P814">
        <v>0</v>
      </c>
    </row>
    <row r="815" spans="1:16" x14ac:dyDescent="0.3">
      <c r="A815" t="s">
        <v>65</v>
      </c>
      <c r="B815" t="s">
        <v>21</v>
      </c>
      <c r="C815" t="s">
        <v>62</v>
      </c>
      <c r="D815" t="s">
        <v>12</v>
      </c>
      <c r="E815" t="s">
        <v>66</v>
      </c>
      <c r="F815" t="s">
        <v>13</v>
      </c>
      <c r="G815" s="15">
        <v>145.49</v>
      </c>
      <c r="H815" t="s">
        <v>26</v>
      </c>
      <c r="I815">
        <v>2</v>
      </c>
      <c r="J815" t="s">
        <v>47</v>
      </c>
      <c r="K815" t="s">
        <v>45</v>
      </c>
      <c r="L815" t="s">
        <v>45</v>
      </c>
      <c r="M815" t="s">
        <v>78</v>
      </c>
      <c r="N815" s="15">
        <v>178.49</v>
      </c>
      <c r="O815" s="16">
        <v>-18.5</v>
      </c>
      <c r="P815">
        <v>0</v>
      </c>
    </row>
    <row r="816" spans="1:16" x14ac:dyDescent="0.3">
      <c r="A816" t="s">
        <v>65</v>
      </c>
      <c r="B816" t="s">
        <v>19</v>
      </c>
      <c r="C816" t="s">
        <v>19</v>
      </c>
      <c r="D816" t="s">
        <v>14</v>
      </c>
      <c r="E816" t="s">
        <v>77</v>
      </c>
      <c r="F816" t="s">
        <v>9</v>
      </c>
      <c r="G816" s="15">
        <v>69.819999999999993</v>
      </c>
      <c r="H816" t="s">
        <v>26</v>
      </c>
      <c r="I816">
        <v>2</v>
      </c>
      <c r="J816" t="s">
        <v>44</v>
      </c>
      <c r="K816" t="s">
        <v>45</v>
      </c>
      <c r="L816" t="s">
        <v>45</v>
      </c>
      <c r="M816" t="s">
        <v>78</v>
      </c>
      <c r="N816" s="15">
        <v>70.66</v>
      </c>
      <c r="O816" s="16">
        <v>-1.2</v>
      </c>
      <c r="P816">
        <v>0</v>
      </c>
    </row>
    <row r="817" spans="1:16" x14ac:dyDescent="0.3">
      <c r="A817" t="s">
        <v>60</v>
      </c>
      <c r="B817" t="s">
        <v>19</v>
      </c>
      <c r="C817" t="s">
        <v>19</v>
      </c>
      <c r="D817" t="s">
        <v>8</v>
      </c>
      <c r="E817" t="s">
        <v>73</v>
      </c>
      <c r="F817" t="s">
        <v>9</v>
      </c>
      <c r="G817" s="15">
        <v>74.92</v>
      </c>
      <c r="H817" t="s">
        <v>26</v>
      </c>
      <c r="I817">
        <v>2</v>
      </c>
      <c r="J817" t="s">
        <v>48</v>
      </c>
      <c r="K817" t="s">
        <v>46</v>
      </c>
      <c r="L817" t="s">
        <v>45</v>
      </c>
      <c r="M817" t="s">
        <v>64</v>
      </c>
      <c r="N817" s="15">
        <v>82.04</v>
      </c>
      <c r="O817" s="16">
        <v>-8.6999999999999993</v>
      </c>
      <c r="P817">
        <v>0</v>
      </c>
    </row>
    <row r="818" spans="1:16" x14ac:dyDescent="0.3">
      <c r="A818" t="s">
        <v>65</v>
      </c>
      <c r="B818" t="s">
        <v>19</v>
      </c>
      <c r="C818" t="s">
        <v>19</v>
      </c>
      <c r="D818" t="s">
        <v>14</v>
      </c>
      <c r="E818" t="s">
        <v>77</v>
      </c>
      <c r="F818" t="s">
        <v>9</v>
      </c>
      <c r="G818" s="15">
        <v>68.84</v>
      </c>
      <c r="H818" t="s">
        <v>27</v>
      </c>
      <c r="I818">
        <v>3</v>
      </c>
      <c r="J818" t="s">
        <v>47</v>
      </c>
      <c r="K818" t="s">
        <v>46</v>
      </c>
      <c r="L818" t="s">
        <v>45</v>
      </c>
      <c r="M818" t="s">
        <v>59</v>
      </c>
      <c r="N818" s="15">
        <v>70.66</v>
      </c>
      <c r="O818" s="16">
        <v>-2.6</v>
      </c>
      <c r="P818">
        <v>0</v>
      </c>
    </row>
    <row r="819" spans="1:16" x14ac:dyDescent="0.3">
      <c r="A819" t="s">
        <v>65</v>
      </c>
      <c r="B819" t="s">
        <v>22</v>
      </c>
      <c r="C819" t="s">
        <v>22</v>
      </c>
      <c r="D819" t="s">
        <v>8</v>
      </c>
      <c r="E819" t="s">
        <v>73</v>
      </c>
      <c r="F819" t="s">
        <v>9</v>
      </c>
      <c r="G819" s="15">
        <v>70.14</v>
      </c>
      <c r="H819" t="s">
        <v>25</v>
      </c>
      <c r="I819">
        <v>1</v>
      </c>
      <c r="J819" t="s">
        <v>48</v>
      </c>
      <c r="K819" t="s">
        <v>46</v>
      </c>
      <c r="L819" t="s">
        <v>45</v>
      </c>
      <c r="M819" t="s">
        <v>67</v>
      </c>
      <c r="N819" s="15">
        <v>88.05</v>
      </c>
      <c r="O819" s="16">
        <v>-20.3</v>
      </c>
      <c r="P819">
        <v>0</v>
      </c>
    </row>
    <row r="820" spans="1:16" x14ac:dyDescent="0.3">
      <c r="A820" t="s">
        <v>60</v>
      </c>
      <c r="B820" t="s">
        <v>17</v>
      </c>
      <c r="C820" t="s">
        <v>17</v>
      </c>
      <c r="D820" t="s">
        <v>15</v>
      </c>
      <c r="E820" t="s">
        <v>76</v>
      </c>
      <c r="F820" t="s">
        <v>9</v>
      </c>
      <c r="G820" s="15">
        <v>129.29</v>
      </c>
      <c r="H820" t="s">
        <v>25</v>
      </c>
      <c r="I820">
        <v>1</v>
      </c>
      <c r="J820" t="s">
        <v>47</v>
      </c>
      <c r="K820" t="s">
        <v>45</v>
      </c>
      <c r="L820" t="s">
        <v>45</v>
      </c>
      <c r="M820" t="s">
        <v>68</v>
      </c>
      <c r="N820" s="15">
        <v>116.32</v>
      </c>
      <c r="O820" s="16">
        <v>11.2</v>
      </c>
      <c r="P820">
        <v>0</v>
      </c>
    </row>
    <row r="821" spans="1:16" x14ac:dyDescent="0.3">
      <c r="A821" t="s">
        <v>57</v>
      </c>
      <c r="B821" t="s">
        <v>21</v>
      </c>
      <c r="C821" t="s">
        <v>62</v>
      </c>
      <c r="D821" t="s">
        <v>14</v>
      </c>
      <c r="E821" t="s">
        <v>77</v>
      </c>
      <c r="F821" t="s">
        <v>9</v>
      </c>
      <c r="G821" s="15">
        <v>79.94</v>
      </c>
      <c r="H821" t="s">
        <v>25</v>
      </c>
      <c r="I821">
        <v>1</v>
      </c>
      <c r="J821" t="s">
        <v>48</v>
      </c>
      <c r="K821" t="s">
        <v>45</v>
      </c>
      <c r="L821" t="s">
        <v>45</v>
      </c>
      <c r="M821" t="s">
        <v>68</v>
      </c>
      <c r="N821" s="15">
        <v>65.97</v>
      </c>
      <c r="O821" s="16">
        <v>21.2</v>
      </c>
      <c r="P821">
        <v>1</v>
      </c>
    </row>
    <row r="822" spans="1:16" x14ac:dyDescent="0.3">
      <c r="A822" t="s">
        <v>57</v>
      </c>
      <c r="B822" t="s">
        <v>20</v>
      </c>
      <c r="C822" t="s">
        <v>20</v>
      </c>
      <c r="D822" t="s">
        <v>15</v>
      </c>
      <c r="E822" t="s">
        <v>76</v>
      </c>
      <c r="F822" t="s">
        <v>9</v>
      </c>
      <c r="G822" s="15">
        <v>140</v>
      </c>
      <c r="H822" t="s">
        <v>25</v>
      </c>
      <c r="I822">
        <v>1</v>
      </c>
      <c r="J822" t="s">
        <v>48</v>
      </c>
      <c r="K822" t="s">
        <v>45</v>
      </c>
      <c r="L822" t="s">
        <v>46</v>
      </c>
      <c r="M822" t="s">
        <v>61</v>
      </c>
      <c r="N822" s="15">
        <v>118.59</v>
      </c>
      <c r="O822" s="16">
        <v>18.100000000000001</v>
      </c>
      <c r="P822">
        <v>1</v>
      </c>
    </row>
    <row r="823" spans="1:16" x14ac:dyDescent="0.3">
      <c r="A823" t="s">
        <v>60</v>
      </c>
      <c r="B823" t="s">
        <v>21</v>
      </c>
      <c r="C823" t="s">
        <v>62</v>
      </c>
      <c r="D823" t="s">
        <v>8</v>
      </c>
      <c r="E823" t="s">
        <v>73</v>
      </c>
      <c r="F823" t="s">
        <v>9</v>
      </c>
      <c r="G823" s="15">
        <v>64.709999999999994</v>
      </c>
      <c r="H823" t="s">
        <v>26</v>
      </c>
      <c r="I823">
        <v>2</v>
      </c>
      <c r="J823" t="s">
        <v>48</v>
      </c>
      <c r="K823" t="s">
        <v>45</v>
      </c>
      <c r="L823" t="s">
        <v>45</v>
      </c>
      <c r="M823" t="s">
        <v>61</v>
      </c>
      <c r="N823" s="15">
        <v>82.04</v>
      </c>
      <c r="O823" s="16">
        <v>-21.1</v>
      </c>
      <c r="P823">
        <v>0</v>
      </c>
    </row>
    <row r="824" spans="1:16" x14ac:dyDescent="0.3">
      <c r="A824" t="s">
        <v>65</v>
      </c>
      <c r="B824" t="s">
        <v>19</v>
      </c>
      <c r="C824" t="s">
        <v>19</v>
      </c>
      <c r="D824" t="s">
        <v>10</v>
      </c>
      <c r="E824" t="s">
        <v>69</v>
      </c>
      <c r="F824" t="s">
        <v>9</v>
      </c>
      <c r="G824" s="15">
        <v>147.97</v>
      </c>
      <c r="H824" t="s">
        <v>27</v>
      </c>
      <c r="I824">
        <v>3</v>
      </c>
      <c r="J824" t="s">
        <v>47</v>
      </c>
      <c r="K824" t="s">
        <v>45</v>
      </c>
      <c r="L824" t="s">
        <v>45</v>
      </c>
      <c r="M824" t="s">
        <v>67</v>
      </c>
      <c r="N824" s="15">
        <v>158.91999999999999</v>
      </c>
      <c r="O824" s="16">
        <v>-6.9</v>
      </c>
      <c r="P824">
        <v>0</v>
      </c>
    </row>
    <row r="825" spans="1:16" x14ac:dyDescent="0.3">
      <c r="A825" t="s">
        <v>65</v>
      </c>
      <c r="B825" t="s">
        <v>17</v>
      </c>
      <c r="C825" t="s">
        <v>17</v>
      </c>
      <c r="D825" t="s">
        <v>14</v>
      </c>
      <c r="E825" t="s">
        <v>77</v>
      </c>
      <c r="F825" t="s">
        <v>9</v>
      </c>
      <c r="G825" s="15">
        <v>64.430000000000007</v>
      </c>
      <c r="H825" t="s">
        <v>26</v>
      </c>
      <c r="I825">
        <v>2</v>
      </c>
      <c r="J825" t="s">
        <v>44</v>
      </c>
      <c r="K825" t="s">
        <v>46</v>
      </c>
      <c r="L825" t="s">
        <v>45</v>
      </c>
      <c r="M825" t="s">
        <v>67</v>
      </c>
      <c r="N825" s="15">
        <v>70.66</v>
      </c>
      <c r="O825" s="16">
        <v>-8.8000000000000007</v>
      </c>
      <c r="P825">
        <v>0</v>
      </c>
    </row>
    <row r="826" spans="1:16" x14ac:dyDescent="0.3">
      <c r="A826" t="s">
        <v>60</v>
      </c>
      <c r="B826" t="s">
        <v>19</v>
      </c>
      <c r="C826" t="s">
        <v>19</v>
      </c>
      <c r="D826" t="s">
        <v>15</v>
      </c>
      <c r="E826" t="s">
        <v>76</v>
      </c>
      <c r="F826" t="s">
        <v>9</v>
      </c>
      <c r="G826" s="15">
        <v>139.52000000000001</v>
      </c>
      <c r="H826" t="s">
        <v>25</v>
      </c>
      <c r="I826">
        <v>1</v>
      </c>
      <c r="J826" t="s">
        <v>47</v>
      </c>
      <c r="K826" t="s">
        <v>45</v>
      </c>
      <c r="L826" t="s">
        <v>45</v>
      </c>
      <c r="M826" t="s">
        <v>59</v>
      </c>
      <c r="N826" s="15">
        <v>116.32</v>
      </c>
      <c r="O826" s="16">
        <v>19.899999999999999</v>
      </c>
      <c r="P826">
        <v>1</v>
      </c>
    </row>
    <row r="827" spans="1:16" x14ac:dyDescent="0.3">
      <c r="A827" t="s">
        <v>60</v>
      </c>
      <c r="B827" t="s">
        <v>17</v>
      </c>
      <c r="C827" t="s">
        <v>17</v>
      </c>
      <c r="D827" t="s">
        <v>8</v>
      </c>
      <c r="E827" t="s">
        <v>73</v>
      </c>
      <c r="F827" t="s">
        <v>9</v>
      </c>
      <c r="G827" s="15">
        <v>100.87</v>
      </c>
      <c r="H827" t="s">
        <v>25</v>
      </c>
      <c r="I827">
        <v>1</v>
      </c>
      <c r="J827" t="s">
        <v>48</v>
      </c>
      <c r="K827" t="s">
        <v>46</v>
      </c>
      <c r="L827" t="s">
        <v>45</v>
      </c>
      <c r="M827" t="s">
        <v>72</v>
      </c>
      <c r="N827" s="15">
        <v>82.04</v>
      </c>
      <c r="O827" s="16">
        <v>23</v>
      </c>
      <c r="P827">
        <v>1</v>
      </c>
    </row>
    <row r="828" spans="1:16" x14ac:dyDescent="0.3">
      <c r="A828" t="s">
        <v>60</v>
      </c>
      <c r="B828" t="s">
        <v>21</v>
      </c>
      <c r="C828" t="s">
        <v>62</v>
      </c>
      <c r="D828" t="s">
        <v>12</v>
      </c>
      <c r="E828" t="s">
        <v>66</v>
      </c>
      <c r="F828" t="s">
        <v>13</v>
      </c>
      <c r="G828" s="15">
        <v>136.91999999999999</v>
      </c>
      <c r="H828" t="s">
        <v>27</v>
      </c>
      <c r="I828">
        <v>3</v>
      </c>
      <c r="J828" t="s">
        <v>48</v>
      </c>
      <c r="K828" t="s">
        <v>46</v>
      </c>
      <c r="L828" t="s">
        <v>45</v>
      </c>
      <c r="M828" t="s">
        <v>61</v>
      </c>
      <c r="N828" s="15">
        <v>168.34</v>
      </c>
      <c r="O828" s="16">
        <v>-18.7</v>
      </c>
      <c r="P828">
        <v>0</v>
      </c>
    </row>
    <row r="829" spans="1:16" x14ac:dyDescent="0.3">
      <c r="A829" t="s">
        <v>65</v>
      </c>
      <c r="B829" t="s">
        <v>19</v>
      </c>
      <c r="C829" t="s">
        <v>19</v>
      </c>
      <c r="D829" t="s">
        <v>11</v>
      </c>
      <c r="E829" t="s">
        <v>70</v>
      </c>
      <c r="F829" t="s">
        <v>9</v>
      </c>
      <c r="G829" s="15">
        <v>36.15</v>
      </c>
      <c r="H829" t="s">
        <v>26</v>
      </c>
      <c r="I829">
        <v>2</v>
      </c>
      <c r="J829" t="s">
        <v>47</v>
      </c>
      <c r="K829" t="s">
        <v>45</v>
      </c>
      <c r="L829" t="s">
        <v>45</v>
      </c>
      <c r="M829" t="s">
        <v>59</v>
      </c>
      <c r="N829" s="15">
        <v>32.630000000000003</v>
      </c>
      <c r="O829" s="16">
        <v>10.8</v>
      </c>
      <c r="P829">
        <v>0</v>
      </c>
    </row>
    <row r="830" spans="1:16" x14ac:dyDescent="0.3">
      <c r="A830" t="s">
        <v>60</v>
      </c>
      <c r="B830" t="s">
        <v>21</v>
      </c>
      <c r="C830" t="s">
        <v>62</v>
      </c>
      <c r="D830" t="s">
        <v>10</v>
      </c>
      <c r="E830" t="s">
        <v>58</v>
      </c>
      <c r="F830" t="s">
        <v>9</v>
      </c>
      <c r="G830" s="15">
        <v>131.06</v>
      </c>
      <c r="H830" t="s">
        <v>26</v>
      </c>
      <c r="I830">
        <v>2</v>
      </c>
      <c r="J830" t="s">
        <v>48</v>
      </c>
      <c r="K830" t="s">
        <v>46</v>
      </c>
      <c r="L830" t="s">
        <v>45</v>
      </c>
      <c r="M830" t="s">
        <v>61</v>
      </c>
      <c r="N830" s="15">
        <v>152.03</v>
      </c>
      <c r="O830" s="16">
        <v>-13.8</v>
      </c>
      <c r="P830">
        <v>0</v>
      </c>
    </row>
    <row r="831" spans="1:16" x14ac:dyDescent="0.3">
      <c r="A831" t="s">
        <v>65</v>
      </c>
      <c r="B831" t="s">
        <v>19</v>
      </c>
      <c r="C831" t="s">
        <v>19</v>
      </c>
      <c r="D831" t="s">
        <v>14</v>
      </c>
      <c r="E831" t="s">
        <v>77</v>
      </c>
      <c r="F831" t="s">
        <v>9</v>
      </c>
      <c r="G831" s="15">
        <v>80</v>
      </c>
      <c r="H831" t="s">
        <v>25</v>
      </c>
      <c r="I831">
        <v>1</v>
      </c>
      <c r="J831" t="s">
        <v>47</v>
      </c>
      <c r="K831" t="s">
        <v>45</v>
      </c>
      <c r="L831" t="s">
        <v>45</v>
      </c>
      <c r="M831" t="s">
        <v>64</v>
      </c>
      <c r="N831" s="15">
        <v>70.66</v>
      </c>
      <c r="O831" s="16">
        <v>13.2</v>
      </c>
      <c r="P831">
        <v>0</v>
      </c>
    </row>
    <row r="832" spans="1:16" x14ac:dyDescent="0.3">
      <c r="A832" t="s">
        <v>57</v>
      </c>
      <c r="B832" t="s">
        <v>21</v>
      </c>
      <c r="C832" t="s">
        <v>62</v>
      </c>
      <c r="D832" t="s">
        <v>11</v>
      </c>
      <c r="E832" t="s">
        <v>79</v>
      </c>
      <c r="F832" t="s">
        <v>9</v>
      </c>
      <c r="G832" s="15">
        <v>29.76</v>
      </c>
      <c r="H832" t="s">
        <v>27</v>
      </c>
      <c r="I832">
        <v>3</v>
      </c>
      <c r="J832" t="s">
        <v>48</v>
      </c>
      <c r="K832" t="s">
        <v>46</v>
      </c>
      <c r="L832" t="s">
        <v>45</v>
      </c>
      <c r="M832" t="s">
        <v>72</v>
      </c>
      <c r="N832" s="15">
        <v>30.93</v>
      </c>
      <c r="O832" s="16">
        <v>-3.8</v>
      </c>
      <c r="P832">
        <v>0</v>
      </c>
    </row>
    <row r="833" spans="1:16" x14ac:dyDescent="0.3">
      <c r="A833" t="s">
        <v>57</v>
      </c>
      <c r="B833" t="s">
        <v>17</v>
      </c>
      <c r="C833" t="s">
        <v>17</v>
      </c>
      <c r="D833" t="s">
        <v>14</v>
      </c>
      <c r="E833" t="s">
        <v>77</v>
      </c>
      <c r="F833" t="s">
        <v>9</v>
      </c>
      <c r="G833" s="15">
        <v>59.35</v>
      </c>
      <c r="H833" t="s">
        <v>26</v>
      </c>
      <c r="I833">
        <v>2</v>
      </c>
      <c r="J833" t="s">
        <v>48</v>
      </c>
      <c r="K833" t="s">
        <v>46</v>
      </c>
      <c r="L833" t="s">
        <v>46</v>
      </c>
      <c r="M833" t="s">
        <v>61</v>
      </c>
      <c r="N833" s="15">
        <v>65.97</v>
      </c>
      <c r="O833" s="16">
        <v>-10</v>
      </c>
      <c r="P833">
        <v>0</v>
      </c>
    </row>
    <row r="834" spans="1:16" x14ac:dyDescent="0.3">
      <c r="A834" t="s">
        <v>60</v>
      </c>
      <c r="B834" t="s">
        <v>20</v>
      </c>
      <c r="C834" t="s">
        <v>20</v>
      </c>
      <c r="D834" t="s">
        <v>15</v>
      </c>
      <c r="E834" t="s">
        <v>76</v>
      </c>
      <c r="F834" t="s">
        <v>9</v>
      </c>
      <c r="G834" s="15">
        <v>109.76</v>
      </c>
      <c r="H834" t="s">
        <v>26</v>
      </c>
      <c r="I834">
        <v>2</v>
      </c>
      <c r="J834" t="s">
        <v>48</v>
      </c>
      <c r="K834" t="s">
        <v>45</v>
      </c>
      <c r="L834" t="s">
        <v>45</v>
      </c>
      <c r="M834" t="s">
        <v>78</v>
      </c>
      <c r="N834" s="15">
        <v>116.32</v>
      </c>
      <c r="O834" s="16">
        <v>-5.6</v>
      </c>
      <c r="P834">
        <v>0</v>
      </c>
    </row>
    <row r="835" spans="1:16" x14ac:dyDescent="0.3">
      <c r="A835" t="s">
        <v>65</v>
      </c>
      <c r="B835" t="s">
        <v>20</v>
      </c>
      <c r="C835" t="s">
        <v>20</v>
      </c>
      <c r="D835" t="s">
        <v>15</v>
      </c>
      <c r="E835" t="s">
        <v>75</v>
      </c>
      <c r="F835" t="s">
        <v>9</v>
      </c>
      <c r="G835" s="15">
        <v>128.22999999999999</v>
      </c>
      <c r="H835" t="s">
        <v>25</v>
      </c>
      <c r="I835">
        <v>1</v>
      </c>
      <c r="J835" t="s">
        <v>47</v>
      </c>
      <c r="K835" t="s">
        <v>45</v>
      </c>
      <c r="L835" t="s">
        <v>45</v>
      </c>
      <c r="M835" t="s">
        <v>67</v>
      </c>
      <c r="N835" s="15">
        <v>126.9</v>
      </c>
      <c r="O835" s="16">
        <v>1</v>
      </c>
      <c r="P835">
        <v>0</v>
      </c>
    </row>
    <row r="836" spans="1:16" x14ac:dyDescent="0.3">
      <c r="A836" t="s">
        <v>65</v>
      </c>
      <c r="B836" t="s">
        <v>18</v>
      </c>
      <c r="C836" t="s">
        <v>18</v>
      </c>
      <c r="D836" t="s">
        <v>15</v>
      </c>
      <c r="E836" t="s">
        <v>75</v>
      </c>
      <c r="F836" t="s">
        <v>9</v>
      </c>
      <c r="G836" s="15">
        <v>140</v>
      </c>
      <c r="H836" t="s">
        <v>26</v>
      </c>
      <c r="I836">
        <v>2</v>
      </c>
      <c r="J836" t="s">
        <v>47</v>
      </c>
      <c r="K836" t="s">
        <v>45</v>
      </c>
      <c r="L836" t="s">
        <v>45</v>
      </c>
      <c r="M836" t="s">
        <v>68</v>
      </c>
      <c r="N836" s="15">
        <v>126.9</v>
      </c>
      <c r="O836" s="16">
        <v>10.3</v>
      </c>
      <c r="P836">
        <v>0</v>
      </c>
    </row>
    <row r="837" spans="1:16" x14ac:dyDescent="0.3">
      <c r="A837" t="s">
        <v>60</v>
      </c>
      <c r="B837" t="s">
        <v>20</v>
      </c>
      <c r="C837" t="s">
        <v>20</v>
      </c>
      <c r="D837" t="s">
        <v>12</v>
      </c>
      <c r="E837" t="s">
        <v>66</v>
      </c>
      <c r="F837" t="s">
        <v>13</v>
      </c>
      <c r="G837" s="15">
        <v>169.56</v>
      </c>
      <c r="H837" t="s">
        <v>26</v>
      </c>
      <c r="I837">
        <v>2</v>
      </c>
      <c r="J837" t="s">
        <v>48</v>
      </c>
      <c r="K837" t="s">
        <v>45</v>
      </c>
      <c r="L837" t="s">
        <v>45</v>
      </c>
      <c r="M837" t="s">
        <v>68</v>
      </c>
      <c r="N837" s="15">
        <v>168.34</v>
      </c>
      <c r="O837" s="16">
        <v>0.7</v>
      </c>
      <c r="P837">
        <v>0</v>
      </c>
    </row>
    <row r="838" spans="1:16" x14ac:dyDescent="0.3">
      <c r="A838" t="s">
        <v>65</v>
      </c>
      <c r="B838" t="s">
        <v>21</v>
      </c>
      <c r="C838" t="s">
        <v>62</v>
      </c>
      <c r="D838" t="s">
        <v>14</v>
      </c>
      <c r="E838" t="s">
        <v>71</v>
      </c>
      <c r="F838" t="s">
        <v>9</v>
      </c>
      <c r="G838" s="15">
        <v>80</v>
      </c>
      <c r="H838" t="s">
        <v>25</v>
      </c>
      <c r="I838">
        <v>1</v>
      </c>
      <c r="J838" t="s">
        <v>47</v>
      </c>
      <c r="K838" t="s">
        <v>45</v>
      </c>
      <c r="L838" t="s">
        <v>45</v>
      </c>
      <c r="M838" t="s">
        <v>59</v>
      </c>
      <c r="N838" s="15">
        <v>71.77</v>
      </c>
      <c r="O838" s="16">
        <v>11.5</v>
      </c>
      <c r="P838">
        <v>0</v>
      </c>
    </row>
    <row r="839" spans="1:16" x14ac:dyDescent="0.3">
      <c r="A839" t="s">
        <v>60</v>
      </c>
      <c r="B839" t="s">
        <v>22</v>
      </c>
      <c r="C839" t="s">
        <v>22</v>
      </c>
      <c r="D839" t="s">
        <v>15</v>
      </c>
      <c r="E839" t="s">
        <v>76</v>
      </c>
      <c r="F839" t="s">
        <v>9</v>
      </c>
      <c r="G839" s="15">
        <v>109.87</v>
      </c>
      <c r="H839" t="s">
        <v>27</v>
      </c>
      <c r="I839">
        <v>3</v>
      </c>
      <c r="J839" t="s">
        <v>47</v>
      </c>
      <c r="K839" t="s">
        <v>46</v>
      </c>
      <c r="L839" t="s">
        <v>45</v>
      </c>
      <c r="M839" t="s">
        <v>67</v>
      </c>
      <c r="N839" s="15">
        <v>116.32</v>
      </c>
      <c r="O839" s="16">
        <v>-5.5</v>
      </c>
      <c r="P839">
        <v>0</v>
      </c>
    </row>
    <row r="840" spans="1:16" x14ac:dyDescent="0.3">
      <c r="A840" t="s">
        <v>60</v>
      </c>
      <c r="B840" t="s">
        <v>22</v>
      </c>
      <c r="C840" t="s">
        <v>22</v>
      </c>
      <c r="D840" t="s">
        <v>10</v>
      </c>
      <c r="E840" t="s">
        <v>58</v>
      </c>
      <c r="F840" t="s">
        <v>9</v>
      </c>
      <c r="G840" s="15">
        <v>125.03</v>
      </c>
      <c r="H840" t="s">
        <v>26</v>
      </c>
      <c r="I840">
        <v>2</v>
      </c>
      <c r="J840" t="s">
        <v>48</v>
      </c>
      <c r="K840" t="s">
        <v>46</v>
      </c>
      <c r="L840" t="s">
        <v>45</v>
      </c>
      <c r="M840" t="s">
        <v>61</v>
      </c>
      <c r="N840" s="15">
        <v>152.03</v>
      </c>
      <c r="O840" s="16">
        <v>-17.8</v>
      </c>
      <c r="P840">
        <v>0</v>
      </c>
    </row>
    <row r="841" spans="1:16" x14ac:dyDescent="0.3">
      <c r="A841" t="s">
        <v>60</v>
      </c>
      <c r="B841" t="s">
        <v>20</v>
      </c>
      <c r="C841" t="s">
        <v>20</v>
      </c>
      <c r="D841" t="s">
        <v>10</v>
      </c>
      <c r="E841" t="s">
        <v>69</v>
      </c>
      <c r="F841" t="s">
        <v>9</v>
      </c>
      <c r="G841" s="15">
        <v>160.58000000000001</v>
      </c>
      <c r="H841" t="s">
        <v>26</v>
      </c>
      <c r="I841">
        <v>2</v>
      </c>
      <c r="J841" t="s">
        <v>48</v>
      </c>
      <c r="K841" t="s">
        <v>45</v>
      </c>
      <c r="L841" t="s">
        <v>46</v>
      </c>
      <c r="M841" t="s">
        <v>67</v>
      </c>
      <c r="N841" s="15">
        <v>158.6</v>
      </c>
      <c r="O841" s="16">
        <v>1.2</v>
      </c>
      <c r="P841">
        <v>0</v>
      </c>
    </row>
    <row r="842" spans="1:16" x14ac:dyDescent="0.3">
      <c r="A842" t="s">
        <v>65</v>
      </c>
      <c r="B842" t="s">
        <v>20</v>
      </c>
      <c r="C842" t="s">
        <v>20</v>
      </c>
      <c r="D842" t="s">
        <v>14</v>
      </c>
      <c r="E842" t="s">
        <v>71</v>
      </c>
      <c r="F842" t="s">
        <v>9</v>
      </c>
      <c r="G842" s="15">
        <v>67.650000000000006</v>
      </c>
      <c r="H842" t="s">
        <v>26</v>
      </c>
      <c r="I842">
        <v>2</v>
      </c>
      <c r="J842" t="s">
        <v>47</v>
      </c>
      <c r="K842" t="s">
        <v>45</v>
      </c>
      <c r="L842" t="s">
        <v>46</v>
      </c>
      <c r="M842" t="s">
        <v>72</v>
      </c>
      <c r="N842" s="15">
        <v>71.77</v>
      </c>
      <c r="O842" s="16">
        <v>-5.7</v>
      </c>
      <c r="P842">
        <v>0</v>
      </c>
    </row>
    <row r="843" spans="1:16" x14ac:dyDescent="0.3">
      <c r="A843" t="s">
        <v>65</v>
      </c>
      <c r="B843" t="s">
        <v>21</v>
      </c>
      <c r="C843" t="s">
        <v>62</v>
      </c>
      <c r="D843" t="s">
        <v>8</v>
      </c>
      <c r="E843" t="s">
        <v>74</v>
      </c>
      <c r="F843" t="s">
        <v>9</v>
      </c>
      <c r="G843" s="15">
        <v>80</v>
      </c>
      <c r="H843" t="s">
        <v>27</v>
      </c>
      <c r="I843">
        <v>3</v>
      </c>
      <c r="J843" t="s">
        <v>44</v>
      </c>
      <c r="K843" t="s">
        <v>46</v>
      </c>
      <c r="L843" t="s">
        <v>45</v>
      </c>
      <c r="M843" t="s">
        <v>72</v>
      </c>
      <c r="N843" s="15">
        <v>91.13</v>
      </c>
      <c r="O843" s="16">
        <v>-12.2</v>
      </c>
      <c r="P843">
        <v>0</v>
      </c>
    </row>
    <row r="844" spans="1:16" x14ac:dyDescent="0.3">
      <c r="A844" t="s">
        <v>60</v>
      </c>
      <c r="B844" t="s">
        <v>20</v>
      </c>
      <c r="C844" t="s">
        <v>20</v>
      </c>
      <c r="D844" t="s">
        <v>10</v>
      </c>
      <c r="E844" t="s">
        <v>58</v>
      </c>
      <c r="F844" t="s">
        <v>9</v>
      </c>
      <c r="G844" s="15">
        <v>188.58</v>
      </c>
      <c r="H844" t="s">
        <v>26</v>
      </c>
      <c r="I844">
        <v>2</v>
      </c>
      <c r="J844" t="s">
        <v>48</v>
      </c>
      <c r="K844" t="s">
        <v>45</v>
      </c>
      <c r="L844" t="s">
        <v>45</v>
      </c>
      <c r="M844" t="s">
        <v>64</v>
      </c>
      <c r="N844" s="15">
        <v>152.03</v>
      </c>
      <c r="O844" s="16">
        <v>24</v>
      </c>
      <c r="P844">
        <v>1</v>
      </c>
    </row>
    <row r="845" spans="1:16" x14ac:dyDescent="0.3">
      <c r="A845" t="s">
        <v>65</v>
      </c>
      <c r="B845" t="s">
        <v>22</v>
      </c>
      <c r="C845" t="s">
        <v>22</v>
      </c>
      <c r="D845" t="s">
        <v>14</v>
      </c>
      <c r="E845" t="s">
        <v>77</v>
      </c>
      <c r="F845" t="s">
        <v>9</v>
      </c>
      <c r="G845" s="15">
        <v>66.89</v>
      </c>
      <c r="H845" t="s">
        <v>26</v>
      </c>
      <c r="I845">
        <v>2</v>
      </c>
      <c r="J845" t="s">
        <v>48</v>
      </c>
      <c r="K845" t="s">
        <v>46</v>
      </c>
      <c r="L845" t="s">
        <v>45</v>
      </c>
      <c r="M845" t="s">
        <v>67</v>
      </c>
      <c r="N845" s="15">
        <v>70.66</v>
      </c>
      <c r="O845" s="16">
        <v>-5.3</v>
      </c>
      <c r="P845">
        <v>0</v>
      </c>
    </row>
    <row r="846" spans="1:16" x14ac:dyDescent="0.3">
      <c r="A846" t="s">
        <v>65</v>
      </c>
      <c r="B846" t="s">
        <v>22</v>
      </c>
      <c r="C846" t="s">
        <v>22</v>
      </c>
      <c r="D846" t="s">
        <v>14</v>
      </c>
      <c r="E846" t="s">
        <v>63</v>
      </c>
      <c r="F846" t="s">
        <v>9</v>
      </c>
      <c r="G846" s="15">
        <v>73.099999999999994</v>
      </c>
      <c r="H846" t="s">
        <v>26</v>
      </c>
      <c r="I846">
        <v>2</v>
      </c>
      <c r="J846" t="s">
        <v>47</v>
      </c>
      <c r="K846" t="s">
        <v>45</v>
      </c>
      <c r="L846" t="s">
        <v>45</v>
      </c>
      <c r="M846" t="s">
        <v>72</v>
      </c>
      <c r="N846" s="15">
        <v>68.150000000000006</v>
      </c>
      <c r="O846" s="16">
        <v>7.3</v>
      </c>
      <c r="P846">
        <v>0</v>
      </c>
    </row>
    <row r="847" spans="1:16" x14ac:dyDescent="0.3">
      <c r="A847" t="s">
        <v>57</v>
      </c>
      <c r="B847" t="s">
        <v>21</v>
      </c>
      <c r="C847" t="s">
        <v>62</v>
      </c>
      <c r="D847" t="s">
        <v>15</v>
      </c>
      <c r="E847" t="s">
        <v>76</v>
      </c>
      <c r="F847" t="s">
        <v>9</v>
      </c>
      <c r="G847" s="15">
        <v>116.33</v>
      </c>
      <c r="H847" t="s">
        <v>26</v>
      </c>
      <c r="I847">
        <v>2</v>
      </c>
      <c r="J847" t="s">
        <v>48</v>
      </c>
      <c r="K847" t="s">
        <v>45</v>
      </c>
      <c r="L847" t="s">
        <v>45</v>
      </c>
      <c r="M847" t="s">
        <v>67</v>
      </c>
      <c r="N847" s="15">
        <v>118.59</v>
      </c>
      <c r="O847" s="16">
        <v>-1.9</v>
      </c>
      <c r="P847">
        <v>0</v>
      </c>
    </row>
    <row r="848" spans="1:16" x14ac:dyDescent="0.3">
      <c r="A848" t="s">
        <v>65</v>
      </c>
      <c r="B848" t="s">
        <v>18</v>
      </c>
      <c r="C848" t="s">
        <v>18</v>
      </c>
      <c r="D848" t="s">
        <v>12</v>
      </c>
      <c r="E848" t="s">
        <v>66</v>
      </c>
      <c r="F848" t="s">
        <v>13</v>
      </c>
      <c r="G848" s="15">
        <v>165.83</v>
      </c>
      <c r="H848" t="s">
        <v>25</v>
      </c>
      <c r="I848">
        <v>1</v>
      </c>
      <c r="J848" t="s">
        <v>48</v>
      </c>
      <c r="K848" t="s">
        <v>46</v>
      </c>
      <c r="L848" t="s">
        <v>45</v>
      </c>
      <c r="M848" t="s">
        <v>72</v>
      </c>
      <c r="N848" s="15">
        <v>178.49</v>
      </c>
      <c r="O848" s="16">
        <v>-7.1</v>
      </c>
      <c r="P848">
        <v>0</v>
      </c>
    </row>
    <row r="849" spans="1:16" x14ac:dyDescent="0.3">
      <c r="A849" t="s">
        <v>57</v>
      </c>
      <c r="B849" t="s">
        <v>19</v>
      </c>
      <c r="C849" t="s">
        <v>19</v>
      </c>
      <c r="D849" t="s">
        <v>15</v>
      </c>
      <c r="E849" t="s">
        <v>75</v>
      </c>
      <c r="F849" t="s">
        <v>9</v>
      </c>
      <c r="G849" s="15">
        <v>122.03</v>
      </c>
      <c r="H849" t="s">
        <v>26</v>
      </c>
      <c r="I849">
        <v>2</v>
      </c>
      <c r="J849" t="s">
        <v>48</v>
      </c>
      <c r="K849" t="s">
        <v>45</v>
      </c>
      <c r="L849" t="s">
        <v>45</v>
      </c>
      <c r="M849" t="s">
        <v>59</v>
      </c>
      <c r="N849" s="15">
        <v>120.06</v>
      </c>
      <c r="O849" s="16">
        <v>1.6</v>
      </c>
      <c r="P849">
        <v>0</v>
      </c>
    </row>
    <row r="850" spans="1:16" x14ac:dyDescent="0.3">
      <c r="A850" t="s">
        <v>57</v>
      </c>
      <c r="B850" t="s">
        <v>20</v>
      </c>
      <c r="C850" t="s">
        <v>20</v>
      </c>
      <c r="D850" t="s">
        <v>11</v>
      </c>
      <c r="E850" t="s">
        <v>79</v>
      </c>
      <c r="F850" t="s">
        <v>9</v>
      </c>
      <c r="G850" s="15">
        <v>37.409999999999997</v>
      </c>
      <c r="H850" t="s">
        <v>25</v>
      </c>
      <c r="I850">
        <v>1</v>
      </c>
      <c r="J850" t="s">
        <v>48</v>
      </c>
      <c r="K850" t="s">
        <v>45</v>
      </c>
      <c r="L850" t="s">
        <v>45</v>
      </c>
      <c r="M850" t="s">
        <v>67</v>
      </c>
      <c r="N850" s="15">
        <v>30.93</v>
      </c>
      <c r="O850" s="16">
        <v>21</v>
      </c>
      <c r="P850">
        <v>1</v>
      </c>
    </row>
    <row r="851" spans="1:16" x14ac:dyDescent="0.3">
      <c r="A851" t="s">
        <v>57</v>
      </c>
      <c r="B851" t="s">
        <v>19</v>
      </c>
      <c r="C851" t="s">
        <v>19</v>
      </c>
      <c r="D851" t="s">
        <v>14</v>
      </c>
      <c r="E851" t="s">
        <v>63</v>
      </c>
      <c r="F851" t="s">
        <v>9</v>
      </c>
      <c r="G851" s="15">
        <v>61.71</v>
      </c>
      <c r="H851" t="s">
        <v>26</v>
      </c>
      <c r="I851">
        <v>2</v>
      </c>
      <c r="J851" t="s">
        <v>48</v>
      </c>
      <c r="K851" t="s">
        <v>46</v>
      </c>
      <c r="L851" t="s">
        <v>45</v>
      </c>
      <c r="M851" t="s">
        <v>64</v>
      </c>
      <c r="N851" s="15">
        <v>65.16</v>
      </c>
      <c r="O851" s="16">
        <v>-5.3</v>
      </c>
      <c r="P851">
        <v>0</v>
      </c>
    </row>
    <row r="852" spans="1:16" x14ac:dyDescent="0.3">
      <c r="A852" t="s">
        <v>65</v>
      </c>
      <c r="B852" t="s">
        <v>20</v>
      </c>
      <c r="C852" t="s">
        <v>20</v>
      </c>
      <c r="D852" t="s">
        <v>14</v>
      </c>
      <c r="E852" t="s">
        <v>77</v>
      </c>
      <c r="F852" t="s">
        <v>9</v>
      </c>
      <c r="G852" s="15">
        <v>69.19</v>
      </c>
      <c r="H852" t="s">
        <v>26</v>
      </c>
      <c r="I852">
        <v>2</v>
      </c>
      <c r="J852" t="s">
        <v>47</v>
      </c>
      <c r="K852" t="s">
        <v>45</v>
      </c>
      <c r="L852" t="s">
        <v>46</v>
      </c>
      <c r="M852" t="s">
        <v>67</v>
      </c>
      <c r="N852" s="15">
        <v>70.66</v>
      </c>
      <c r="O852" s="16">
        <v>-2.1</v>
      </c>
      <c r="P852">
        <v>0</v>
      </c>
    </row>
    <row r="853" spans="1:16" x14ac:dyDescent="0.3">
      <c r="A853" t="s">
        <v>65</v>
      </c>
      <c r="B853" t="s">
        <v>21</v>
      </c>
      <c r="C853" t="s">
        <v>62</v>
      </c>
      <c r="D853" t="s">
        <v>14</v>
      </c>
      <c r="E853" t="s">
        <v>63</v>
      </c>
      <c r="F853" t="s">
        <v>9</v>
      </c>
      <c r="G853" s="15">
        <v>66.760000000000005</v>
      </c>
      <c r="H853" t="s">
        <v>26</v>
      </c>
      <c r="I853">
        <v>2</v>
      </c>
      <c r="J853" t="s">
        <v>48</v>
      </c>
      <c r="K853" t="s">
        <v>45</v>
      </c>
      <c r="L853" t="s">
        <v>45</v>
      </c>
      <c r="M853" t="s">
        <v>61</v>
      </c>
      <c r="N853" s="15">
        <v>68.150000000000006</v>
      </c>
      <c r="O853" s="16">
        <v>-2</v>
      </c>
      <c r="P853">
        <v>0</v>
      </c>
    </row>
    <row r="854" spans="1:16" x14ac:dyDescent="0.3">
      <c r="A854" t="s">
        <v>60</v>
      </c>
      <c r="B854" t="s">
        <v>20</v>
      </c>
      <c r="C854" t="s">
        <v>20</v>
      </c>
      <c r="D854" t="s">
        <v>10</v>
      </c>
      <c r="E854" t="s">
        <v>58</v>
      </c>
      <c r="F854" t="s">
        <v>9</v>
      </c>
      <c r="G854" s="15">
        <v>132.78</v>
      </c>
      <c r="H854" t="s">
        <v>27</v>
      </c>
      <c r="I854">
        <v>3</v>
      </c>
      <c r="J854" t="s">
        <v>48</v>
      </c>
      <c r="K854" t="s">
        <v>45</v>
      </c>
      <c r="L854" t="s">
        <v>45</v>
      </c>
      <c r="M854" t="s">
        <v>72</v>
      </c>
      <c r="N854" s="15">
        <v>152.03</v>
      </c>
      <c r="O854" s="16">
        <v>-12.7</v>
      </c>
      <c r="P854">
        <v>0</v>
      </c>
    </row>
    <row r="855" spans="1:16" x14ac:dyDescent="0.3">
      <c r="A855" t="s">
        <v>60</v>
      </c>
      <c r="B855" t="s">
        <v>21</v>
      </c>
      <c r="C855" t="s">
        <v>62</v>
      </c>
      <c r="D855" t="s">
        <v>11</v>
      </c>
      <c r="E855" t="s">
        <v>79</v>
      </c>
      <c r="F855" t="s">
        <v>9</v>
      </c>
      <c r="G855" s="15">
        <v>30.76</v>
      </c>
      <c r="H855" t="s">
        <v>26</v>
      </c>
      <c r="I855">
        <v>2</v>
      </c>
      <c r="J855" t="s">
        <v>48</v>
      </c>
      <c r="K855" t="s">
        <v>45</v>
      </c>
      <c r="L855" t="s">
        <v>45</v>
      </c>
      <c r="M855" t="s">
        <v>78</v>
      </c>
      <c r="N855" s="15">
        <v>29.14</v>
      </c>
      <c r="O855" s="16">
        <v>5.5</v>
      </c>
      <c r="P855">
        <v>0</v>
      </c>
    </row>
    <row r="856" spans="1:16" x14ac:dyDescent="0.3">
      <c r="A856" t="s">
        <v>60</v>
      </c>
      <c r="B856" t="s">
        <v>22</v>
      </c>
      <c r="C856" t="s">
        <v>22</v>
      </c>
      <c r="D856" t="s">
        <v>14</v>
      </c>
      <c r="E856" t="s">
        <v>71</v>
      </c>
      <c r="F856" t="s">
        <v>9</v>
      </c>
      <c r="G856" s="15">
        <v>66.900000000000006</v>
      </c>
      <c r="H856" t="s">
        <v>25</v>
      </c>
      <c r="I856">
        <v>1</v>
      </c>
      <c r="J856" t="s">
        <v>48</v>
      </c>
      <c r="K856" t="s">
        <v>45</v>
      </c>
      <c r="L856" t="s">
        <v>46</v>
      </c>
      <c r="M856" t="s">
        <v>64</v>
      </c>
      <c r="N856" s="15">
        <v>65.239999999999995</v>
      </c>
      <c r="O856" s="16">
        <v>2.5</v>
      </c>
      <c r="P856">
        <v>0</v>
      </c>
    </row>
    <row r="857" spans="1:16" x14ac:dyDescent="0.3">
      <c r="A857" t="s">
        <v>57</v>
      </c>
      <c r="B857" t="s">
        <v>18</v>
      </c>
      <c r="C857" t="s">
        <v>18</v>
      </c>
      <c r="D857" t="s">
        <v>8</v>
      </c>
      <c r="E857" t="s">
        <v>73</v>
      </c>
      <c r="F857" t="s">
        <v>9</v>
      </c>
      <c r="G857" s="15">
        <v>92.68</v>
      </c>
      <c r="H857" t="s">
        <v>27</v>
      </c>
      <c r="I857">
        <v>3</v>
      </c>
      <c r="J857" t="s">
        <v>48</v>
      </c>
      <c r="K857" t="s">
        <v>45</v>
      </c>
      <c r="L857" t="s">
        <v>46</v>
      </c>
      <c r="M857" t="s">
        <v>61</v>
      </c>
      <c r="N857" s="15">
        <v>86.06</v>
      </c>
      <c r="O857" s="16">
        <v>7.7</v>
      </c>
      <c r="P857">
        <v>0</v>
      </c>
    </row>
    <row r="858" spans="1:16" x14ac:dyDescent="0.3">
      <c r="A858" t="s">
        <v>60</v>
      </c>
      <c r="B858" t="s">
        <v>20</v>
      </c>
      <c r="C858" t="s">
        <v>20</v>
      </c>
      <c r="D858" t="s">
        <v>14</v>
      </c>
      <c r="E858" t="s">
        <v>71</v>
      </c>
      <c r="F858" t="s">
        <v>9</v>
      </c>
      <c r="G858" s="15">
        <v>60.05</v>
      </c>
      <c r="H858" t="s">
        <v>26</v>
      </c>
      <c r="I858">
        <v>2</v>
      </c>
      <c r="J858" t="s">
        <v>48</v>
      </c>
      <c r="K858" t="s">
        <v>46</v>
      </c>
      <c r="L858" t="s">
        <v>45</v>
      </c>
      <c r="M858" t="s">
        <v>64</v>
      </c>
      <c r="N858" s="15">
        <v>65.239999999999995</v>
      </c>
      <c r="O858" s="16">
        <v>-8</v>
      </c>
      <c r="P858">
        <v>0</v>
      </c>
    </row>
    <row r="859" spans="1:16" x14ac:dyDescent="0.3">
      <c r="A859" t="s">
        <v>65</v>
      </c>
      <c r="B859" t="s">
        <v>22</v>
      </c>
      <c r="C859" t="s">
        <v>22</v>
      </c>
      <c r="D859" t="s">
        <v>15</v>
      </c>
      <c r="E859" t="s">
        <v>76</v>
      </c>
      <c r="F859" t="s">
        <v>9</v>
      </c>
      <c r="G859" s="15">
        <v>122.94</v>
      </c>
      <c r="H859" t="s">
        <v>27</v>
      </c>
      <c r="I859">
        <v>3</v>
      </c>
      <c r="J859" t="s">
        <v>47</v>
      </c>
      <c r="K859" t="s">
        <v>45</v>
      </c>
      <c r="L859" t="s">
        <v>46</v>
      </c>
      <c r="M859" t="s">
        <v>64</v>
      </c>
      <c r="N859" s="15">
        <v>126.51</v>
      </c>
      <c r="O859" s="16">
        <v>-2.8</v>
      </c>
      <c r="P859">
        <v>0</v>
      </c>
    </row>
    <row r="860" spans="1:16" x14ac:dyDescent="0.3">
      <c r="A860" t="s">
        <v>57</v>
      </c>
      <c r="B860" t="s">
        <v>19</v>
      </c>
      <c r="C860" t="s">
        <v>19</v>
      </c>
      <c r="D860" t="s">
        <v>14</v>
      </c>
      <c r="E860" t="s">
        <v>71</v>
      </c>
      <c r="F860" t="s">
        <v>9</v>
      </c>
      <c r="G860" s="15">
        <v>66.94</v>
      </c>
      <c r="H860" t="s">
        <v>26</v>
      </c>
      <c r="I860">
        <v>2</v>
      </c>
      <c r="J860" t="s">
        <v>47</v>
      </c>
      <c r="K860" t="s">
        <v>46</v>
      </c>
      <c r="L860" t="s">
        <v>45</v>
      </c>
      <c r="M860" t="s">
        <v>61</v>
      </c>
      <c r="N860" s="15">
        <v>65.77</v>
      </c>
      <c r="O860" s="16">
        <v>1.8</v>
      </c>
      <c r="P860">
        <v>0</v>
      </c>
    </row>
    <row r="861" spans="1:16" x14ac:dyDescent="0.3">
      <c r="A861" t="s">
        <v>57</v>
      </c>
      <c r="B861" t="s">
        <v>21</v>
      </c>
      <c r="C861" t="s">
        <v>62</v>
      </c>
      <c r="D861" t="s">
        <v>15</v>
      </c>
      <c r="E861" t="s">
        <v>76</v>
      </c>
      <c r="F861" t="s">
        <v>9</v>
      </c>
      <c r="G861" s="15">
        <v>137.57</v>
      </c>
      <c r="H861" t="s">
        <v>25</v>
      </c>
      <c r="I861">
        <v>1</v>
      </c>
      <c r="J861" t="s">
        <v>44</v>
      </c>
      <c r="K861" t="s">
        <v>46</v>
      </c>
      <c r="L861" t="s">
        <v>45</v>
      </c>
      <c r="M861" t="s">
        <v>72</v>
      </c>
      <c r="N861" s="15">
        <v>118.59</v>
      </c>
      <c r="O861" s="16">
        <v>16</v>
      </c>
      <c r="P861">
        <v>1</v>
      </c>
    </row>
    <row r="862" spans="1:16" x14ac:dyDescent="0.3">
      <c r="A862" t="s">
        <v>65</v>
      </c>
      <c r="B862" t="s">
        <v>22</v>
      </c>
      <c r="C862" t="s">
        <v>22</v>
      </c>
      <c r="D862" t="s">
        <v>8</v>
      </c>
      <c r="E862" t="s">
        <v>74</v>
      </c>
      <c r="F862" t="s">
        <v>9</v>
      </c>
      <c r="G862" s="15">
        <v>87.39</v>
      </c>
      <c r="H862" t="s">
        <v>26</v>
      </c>
      <c r="I862">
        <v>2</v>
      </c>
      <c r="J862" t="s">
        <v>48</v>
      </c>
      <c r="K862" t="s">
        <v>46</v>
      </c>
      <c r="L862" t="s">
        <v>45</v>
      </c>
      <c r="M862" t="s">
        <v>68</v>
      </c>
      <c r="N862" s="15">
        <v>91.13</v>
      </c>
      <c r="O862" s="16">
        <v>-4.0999999999999996</v>
      </c>
      <c r="P862">
        <v>0</v>
      </c>
    </row>
    <row r="863" spans="1:16" x14ac:dyDescent="0.3">
      <c r="A863" t="s">
        <v>57</v>
      </c>
      <c r="B863" t="s">
        <v>21</v>
      </c>
      <c r="C863" t="s">
        <v>62</v>
      </c>
      <c r="D863" t="s">
        <v>10</v>
      </c>
      <c r="E863" t="s">
        <v>69</v>
      </c>
      <c r="F863" t="s">
        <v>9</v>
      </c>
      <c r="G863" s="15">
        <v>170.14</v>
      </c>
      <c r="H863" t="s">
        <v>26</v>
      </c>
      <c r="I863">
        <v>2</v>
      </c>
      <c r="J863" t="s">
        <v>47</v>
      </c>
      <c r="K863" t="s">
        <v>46</v>
      </c>
      <c r="L863" t="s">
        <v>45</v>
      </c>
      <c r="M863" t="s">
        <v>72</v>
      </c>
      <c r="N863" s="15">
        <v>150.38999999999999</v>
      </c>
      <c r="O863" s="16">
        <v>13.1</v>
      </c>
      <c r="P863">
        <v>0</v>
      </c>
    </row>
    <row r="864" spans="1:16" x14ac:dyDescent="0.3">
      <c r="A864" t="s">
        <v>60</v>
      </c>
      <c r="B864" t="s">
        <v>18</v>
      </c>
      <c r="C864" t="s">
        <v>18</v>
      </c>
      <c r="D864" t="s">
        <v>15</v>
      </c>
      <c r="E864" t="s">
        <v>75</v>
      </c>
      <c r="F864" t="s">
        <v>9</v>
      </c>
      <c r="G864" s="15">
        <v>126.68</v>
      </c>
      <c r="H864" t="s">
        <v>25</v>
      </c>
      <c r="I864">
        <v>1</v>
      </c>
      <c r="J864" t="s">
        <v>48</v>
      </c>
      <c r="K864" t="s">
        <v>45</v>
      </c>
      <c r="L864" t="s">
        <v>45</v>
      </c>
      <c r="M864" t="s">
        <v>72</v>
      </c>
      <c r="N864" s="15">
        <v>119</v>
      </c>
      <c r="O864" s="16">
        <v>6.5</v>
      </c>
      <c r="P864">
        <v>0</v>
      </c>
    </row>
    <row r="865" spans="1:16" x14ac:dyDescent="0.3">
      <c r="A865" t="s">
        <v>65</v>
      </c>
      <c r="B865" t="s">
        <v>17</v>
      </c>
      <c r="C865" t="s">
        <v>17</v>
      </c>
      <c r="D865" t="s">
        <v>11</v>
      </c>
      <c r="E865" t="s">
        <v>70</v>
      </c>
      <c r="F865" t="s">
        <v>9</v>
      </c>
      <c r="G865" s="15">
        <v>35.33</v>
      </c>
      <c r="H865" t="s">
        <v>26</v>
      </c>
      <c r="I865">
        <v>2</v>
      </c>
      <c r="J865" t="s">
        <v>47</v>
      </c>
      <c r="K865" t="s">
        <v>45</v>
      </c>
      <c r="L865" t="s">
        <v>45</v>
      </c>
      <c r="M865" t="s">
        <v>67</v>
      </c>
      <c r="N865" s="15">
        <v>32.630000000000003</v>
      </c>
      <c r="O865" s="16">
        <v>8.3000000000000007</v>
      </c>
      <c r="P865">
        <v>0</v>
      </c>
    </row>
    <row r="866" spans="1:16" x14ac:dyDescent="0.3">
      <c r="A866" t="s">
        <v>57</v>
      </c>
      <c r="B866" t="s">
        <v>22</v>
      </c>
      <c r="C866" t="s">
        <v>22</v>
      </c>
      <c r="D866" t="s">
        <v>12</v>
      </c>
      <c r="E866" t="s">
        <v>66</v>
      </c>
      <c r="F866" t="s">
        <v>13</v>
      </c>
      <c r="G866" s="15">
        <v>155.37</v>
      </c>
      <c r="H866" t="s">
        <v>26</v>
      </c>
      <c r="I866">
        <v>2</v>
      </c>
      <c r="J866" t="s">
        <v>47</v>
      </c>
      <c r="K866" t="s">
        <v>46</v>
      </c>
      <c r="L866" t="s">
        <v>45</v>
      </c>
      <c r="M866" t="s">
        <v>59</v>
      </c>
      <c r="N866" s="15">
        <v>170.56</v>
      </c>
      <c r="O866" s="16">
        <v>-8.9</v>
      </c>
      <c r="P866">
        <v>0</v>
      </c>
    </row>
    <row r="867" spans="1:16" x14ac:dyDescent="0.3">
      <c r="A867" t="s">
        <v>60</v>
      </c>
      <c r="B867" t="s">
        <v>20</v>
      </c>
      <c r="C867" t="s">
        <v>20</v>
      </c>
      <c r="D867" t="s">
        <v>10</v>
      </c>
      <c r="E867" t="s">
        <v>69</v>
      </c>
      <c r="F867" t="s">
        <v>9</v>
      </c>
      <c r="G867" s="15">
        <v>159.16</v>
      </c>
      <c r="H867" t="s">
        <v>26</v>
      </c>
      <c r="I867">
        <v>2</v>
      </c>
      <c r="J867" t="s">
        <v>48</v>
      </c>
      <c r="K867" t="s">
        <v>45</v>
      </c>
      <c r="L867" t="s">
        <v>45</v>
      </c>
      <c r="M867" t="s">
        <v>68</v>
      </c>
      <c r="N867" s="15">
        <v>158.6</v>
      </c>
      <c r="O867" s="16">
        <v>0.4</v>
      </c>
      <c r="P867">
        <v>0</v>
      </c>
    </row>
    <row r="868" spans="1:16" x14ac:dyDescent="0.3">
      <c r="A868" t="s">
        <v>65</v>
      </c>
      <c r="B868" t="s">
        <v>22</v>
      </c>
      <c r="C868" t="s">
        <v>22</v>
      </c>
      <c r="D868" t="s">
        <v>10</v>
      </c>
      <c r="E868" t="s">
        <v>69</v>
      </c>
      <c r="F868" t="s">
        <v>9</v>
      </c>
      <c r="G868" s="15">
        <v>159.38</v>
      </c>
      <c r="H868" t="s">
        <v>27</v>
      </c>
      <c r="I868">
        <v>3</v>
      </c>
      <c r="J868" t="s">
        <v>48</v>
      </c>
      <c r="K868" t="s">
        <v>46</v>
      </c>
      <c r="L868" t="s">
        <v>45</v>
      </c>
      <c r="M868" t="s">
        <v>72</v>
      </c>
      <c r="N868" s="15">
        <v>158.91999999999999</v>
      </c>
      <c r="O868" s="16">
        <v>0.3</v>
      </c>
      <c r="P868">
        <v>0</v>
      </c>
    </row>
    <row r="869" spans="1:16" x14ac:dyDescent="0.3">
      <c r="A869" t="s">
        <v>65</v>
      </c>
      <c r="B869" t="s">
        <v>19</v>
      </c>
      <c r="C869" t="s">
        <v>19</v>
      </c>
      <c r="D869" t="s">
        <v>10</v>
      </c>
      <c r="E869" t="s">
        <v>69</v>
      </c>
      <c r="F869" t="s">
        <v>9</v>
      </c>
      <c r="G869" s="15">
        <v>139.24</v>
      </c>
      <c r="H869" t="s">
        <v>27</v>
      </c>
      <c r="I869">
        <v>3</v>
      </c>
      <c r="J869" t="s">
        <v>47</v>
      </c>
      <c r="K869" t="s">
        <v>45</v>
      </c>
      <c r="L869" t="s">
        <v>45</v>
      </c>
      <c r="M869" t="s">
        <v>72</v>
      </c>
      <c r="N869" s="15">
        <v>158.91999999999999</v>
      </c>
      <c r="O869" s="16">
        <v>-12.4</v>
      </c>
      <c r="P869">
        <v>0</v>
      </c>
    </row>
    <row r="870" spans="1:16" x14ac:dyDescent="0.3">
      <c r="A870" t="s">
        <v>57</v>
      </c>
      <c r="B870" t="s">
        <v>17</v>
      </c>
      <c r="C870" t="s">
        <v>17</v>
      </c>
      <c r="D870" t="s">
        <v>15</v>
      </c>
      <c r="E870" t="s">
        <v>76</v>
      </c>
      <c r="F870" t="s">
        <v>9</v>
      </c>
      <c r="G870" s="15">
        <v>122.38</v>
      </c>
      <c r="H870" t="s">
        <v>26</v>
      </c>
      <c r="I870">
        <v>2</v>
      </c>
      <c r="J870" t="s">
        <v>48</v>
      </c>
      <c r="K870" t="s">
        <v>45</v>
      </c>
      <c r="L870" t="s">
        <v>45</v>
      </c>
      <c r="M870" t="s">
        <v>68</v>
      </c>
      <c r="N870" s="15">
        <v>118.59</v>
      </c>
      <c r="O870" s="16">
        <v>3.2</v>
      </c>
      <c r="P870">
        <v>0</v>
      </c>
    </row>
    <row r="871" spans="1:16" x14ac:dyDescent="0.3">
      <c r="A871" t="s">
        <v>65</v>
      </c>
      <c r="B871" t="s">
        <v>20</v>
      </c>
      <c r="C871" t="s">
        <v>20</v>
      </c>
      <c r="D871" t="s">
        <v>14</v>
      </c>
      <c r="E871" t="s">
        <v>63</v>
      </c>
      <c r="F871" t="s">
        <v>9</v>
      </c>
      <c r="G871" s="15">
        <v>66.05</v>
      </c>
      <c r="H871" t="s">
        <v>27</v>
      </c>
      <c r="I871">
        <v>3</v>
      </c>
      <c r="J871" t="s">
        <v>48</v>
      </c>
      <c r="K871" t="s">
        <v>45</v>
      </c>
      <c r="L871" t="s">
        <v>46</v>
      </c>
      <c r="M871" t="s">
        <v>61</v>
      </c>
      <c r="N871" s="15">
        <v>68.150000000000006</v>
      </c>
      <c r="O871" s="16">
        <v>-3.1</v>
      </c>
      <c r="P871">
        <v>0</v>
      </c>
    </row>
    <row r="872" spans="1:16" x14ac:dyDescent="0.3">
      <c r="A872" t="s">
        <v>57</v>
      </c>
      <c r="B872" t="s">
        <v>19</v>
      </c>
      <c r="C872" t="s">
        <v>19</v>
      </c>
      <c r="D872" t="s">
        <v>14</v>
      </c>
      <c r="E872" t="s">
        <v>77</v>
      </c>
      <c r="F872" t="s">
        <v>9</v>
      </c>
      <c r="G872" s="15">
        <v>75.209999999999994</v>
      </c>
      <c r="H872" t="s">
        <v>26</v>
      </c>
      <c r="I872">
        <v>2</v>
      </c>
      <c r="J872" t="s">
        <v>47</v>
      </c>
      <c r="K872" t="s">
        <v>46</v>
      </c>
      <c r="L872" t="s">
        <v>45</v>
      </c>
      <c r="M872" t="s">
        <v>59</v>
      </c>
      <c r="N872" s="15">
        <v>65.97</v>
      </c>
      <c r="O872" s="16">
        <v>14</v>
      </c>
      <c r="P872">
        <v>0</v>
      </c>
    </row>
    <row r="873" spans="1:16" x14ac:dyDescent="0.3">
      <c r="A873" t="s">
        <v>65</v>
      </c>
      <c r="B873" t="s">
        <v>17</v>
      </c>
      <c r="C873" t="s">
        <v>17</v>
      </c>
      <c r="D873" t="s">
        <v>15</v>
      </c>
      <c r="E873" t="s">
        <v>75</v>
      </c>
      <c r="F873" t="s">
        <v>9</v>
      </c>
      <c r="G873" s="15">
        <v>105.33</v>
      </c>
      <c r="H873" t="s">
        <v>27</v>
      </c>
      <c r="I873">
        <v>3</v>
      </c>
      <c r="J873" t="s">
        <v>47</v>
      </c>
      <c r="K873" t="s">
        <v>45</v>
      </c>
      <c r="L873" t="s">
        <v>45</v>
      </c>
      <c r="M873" t="s">
        <v>64</v>
      </c>
      <c r="N873" s="15">
        <v>126.9</v>
      </c>
      <c r="O873" s="16">
        <v>-17</v>
      </c>
      <c r="P873">
        <v>0</v>
      </c>
    </row>
    <row r="874" spans="1:16" x14ac:dyDescent="0.3">
      <c r="A874" t="s">
        <v>57</v>
      </c>
      <c r="B874" t="s">
        <v>21</v>
      </c>
      <c r="C874" t="s">
        <v>62</v>
      </c>
      <c r="D874" t="s">
        <v>12</v>
      </c>
      <c r="E874" t="s">
        <v>66</v>
      </c>
      <c r="F874" t="s">
        <v>13</v>
      </c>
      <c r="G874" s="15">
        <v>190.05</v>
      </c>
      <c r="H874" t="s">
        <v>25</v>
      </c>
      <c r="I874">
        <v>1</v>
      </c>
      <c r="J874" t="s">
        <v>47</v>
      </c>
      <c r="K874" t="s">
        <v>45</v>
      </c>
      <c r="L874" t="s">
        <v>45</v>
      </c>
      <c r="M874" t="s">
        <v>64</v>
      </c>
      <c r="N874" s="15">
        <v>170.56</v>
      </c>
      <c r="O874" s="16">
        <v>11.4</v>
      </c>
      <c r="P874">
        <v>0</v>
      </c>
    </row>
    <row r="875" spans="1:16" x14ac:dyDescent="0.3">
      <c r="A875" t="s">
        <v>65</v>
      </c>
      <c r="B875" t="s">
        <v>21</v>
      </c>
      <c r="C875" t="s">
        <v>62</v>
      </c>
      <c r="D875" t="s">
        <v>8</v>
      </c>
      <c r="E875" t="s">
        <v>73</v>
      </c>
      <c r="F875" t="s">
        <v>9</v>
      </c>
      <c r="G875" s="15">
        <v>98.43</v>
      </c>
      <c r="H875" t="s">
        <v>25</v>
      </c>
      <c r="I875">
        <v>1</v>
      </c>
      <c r="J875" t="s">
        <v>47</v>
      </c>
      <c r="K875" t="s">
        <v>45</v>
      </c>
      <c r="L875" t="s">
        <v>45</v>
      </c>
      <c r="M875" t="s">
        <v>61</v>
      </c>
      <c r="N875" s="15">
        <v>88.05</v>
      </c>
      <c r="O875" s="16">
        <v>11.8</v>
      </c>
      <c r="P875">
        <v>0</v>
      </c>
    </row>
    <row r="876" spans="1:16" x14ac:dyDescent="0.3">
      <c r="A876" t="s">
        <v>57</v>
      </c>
      <c r="B876" t="s">
        <v>17</v>
      </c>
      <c r="C876" t="s">
        <v>17</v>
      </c>
      <c r="D876" t="s">
        <v>14</v>
      </c>
      <c r="E876" t="s">
        <v>71</v>
      </c>
      <c r="F876" t="s">
        <v>9</v>
      </c>
      <c r="G876" s="15">
        <v>67.42</v>
      </c>
      <c r="H876" t="s">
        <v>26</v>
      </c>
      <c r="I876">
        <v>2</v>
      </c>
      <c r="J876" t="s">
        <v>47</v>
      </c>
      <c r="K876" t="s">
        <v>46</v>
      </c>
      <c r="L876" t="s">
        <v>45</v>
      </c>
      <c r="M876" t="s">
        <v>68</v>
      </c>
      <c r="N876" s="15">
        <v>65.77</v>
      </c>
      <c r="O876" s="16">
        <v>2.5</v>
      </c>
      <c r="P876">
        <v>0</v>
      </c>
    </row>
    <row r="877" spans="1:16" x14ac:dyDescent="0.3">
      <c r="A877" t="s">
        <v>60</v>
      </c>
      <c r="B877" t="s">
        <v>19</v>
      </c>
      <c r="C877" t="s">
        <v>19</v>
      </c>
      <c r="D877" t="s">
        <v>11</v>
      </c>
      <c r="E877" t="s">
        <v>79</v>
      </c>
      <c r="F877" t="s">
        <v>9</v>
      </c>
      <c r="G877" s="15">
        <v>28.39</v>
      </c>
      <c r="H877" t="s">
        <v>26</v>
      </c>
      <c r="I877">
        <v>2</v>
      </c>
      <c r="J877" t="s">
        <v>48</v>
      </c>
      <c r="K877" t="s">
        <v>46</v>
      </c>
      <c r="L877" t="s">
        <v>45</v>
      </c>
      <c r="M877" t="s">
        <v>67</v>
      </c>
      <c r="N877" s="15">
        <v>29.14</v>
      </c>
      <c r="O877" s="16">
        <v>-2.6</v>
      </c>
      <c r="P877">
        <v>0</v>
      </c>
    </row>
    <row r="878" spans="1:16" x14ac:dyDescent="0.3">
      <c r="A878" t="s">
        <v>57</v>
      </c>
      <c r="B878" t="s">
        <v>21</v>
      </c>
      <c r="C878" t="s">
        <v>62</v>
      </c>
      <c r="D878" t="s">
        <v>10</v>
      </c>
      <c r="E878" t="s">
        <v>69</v>
      </c>
      <c r="F878" t="s">
        <v>9</v>
      </c>
      <c r="G878" s="15">
        <v>142.25</v>
      </c>
      <c r="H878" t="s">
        <v>25</v>
      </c>
      <c r="I878">
        <v>1</v>
      </c>
      <c r="J878" t="s">
        <v>47</v>
      </c>
      <c r="K878" t="s">
        <v>46</v>
      </c>
      <c r="L878" t="s">
        <v>45</v>
      </c>
      <c r="M878" t="s">
        <v>68</v>
      </c>
      <c r="N878" s="15">
        <v>150.38999999999999</v>
      </c>
      <c r="O878" s="16">
        <v>-5.4</v>
      </c>
      <c r="P878">
        <v>0</v>
      </c>
    </row>
    <row r="879" spans="1:16" x14ac:dyDescent="0.3">
      <c r="A879" t="s">
        <v>60</v>
      </c>
      <c r="B879" t="s">
        <v>19</v>
      </c>
      <c r="C879" t="s">
        <v>19</v>
      </c>
      <c r="D879" t="s">
        <v>12</v>
      </c>
      <c r="E879" t="s">
        <v>80</v>
      </c>
      <c r="F879" t="s">
        <v>13</v>
      </c>
      <c r="G879" s="15">
        <v>158.01</v>
      </c>
      <c r="H879" t="s">
        <v>26</v>
      </c>
      <c r="I879">
        <v>2</v>
      </c>
      <c r="J879" t="s">
        <v>48</v>
      </c>
      <c r="K879" t="s">
        <v>45</v>
      </c>
      <c r="L879" t="s">
        <v>45</v>
      </c>
      <c r="M879" t="s">
        <v>67</v>
      </c>
      <c r="N879" s="15">
        <v>167.63</v>
      </c>
      <c r="O879" s="16">
        <v>-5.7</v>
      </c>
      <c r="P879">
        <v>0</v>
      </c>
    </row>
    <row r="880" spans="1:16" x14ac:dyDescent="0.3">
      <c r="A880" t="s">
        <v>65</v>
      </c>
      <c r="B880" t="s">
        <v>22</v>
      </c>
      <c r="C880" t="s">
        <v>22</v>
      </c>
      <c r="D880" t="s">
        <v>8</v>
      </c>
      <c r="E880" t="s">
        <v>74</v>
      </c>
      <c r="F880" t="s">
        <v>9</v>
      </c>
      <c r="G880" s="15">
        <v>77.63</v>
      </c>
      <c r="H880" t="s">
        <v>26</v>
      </c>
      <c r="I880">
        <v>2</v>
      </c>
      <c r="J880" t="s">
        <v>47</v>
      </c>
      <c r="K880" t="s">
        <v>46</v>
      </c>
      <c r="L880" t="s">
        <v>46</v>
      </c>
      <c r="M880" t="s">
        <v>68</v>
      </c>
      <c r="N880" s="15">
        <v>91.13</v>
      </c>
      <c r="O880" s="16">
        <v>-14.8</v>
      </c>
      <c r="P880">
        <v>0</v>
      </c>
    </row>
    <row r="881" spans="1:16" x14ac:dyDescent="0.3">
      <c r="A881" t="s">
        <v>65</v>
      </c>
      <c r="B881" t="s">
        <v>22</v>
      </c>
      <c r="C881" t="s">
        <v>22</v>
      </c>
      <c r="D881" t="s">
        <v>15</v>
      </c>
      <c r="E881" t="s">
        <v>75</v>
      </c>
      <c r="F881" t="s">
        <v>9</v>
      </c>
      <c r="G881" s="15">
        <v>112.91</v>
      </c>
      <c r="H881" t="s">
        <v>27</v>
      </c>
      <c r="I881">
        <v>3</v>
      </c>
      <c r="J881" t="s">
        <v>48</v>
      </c>
      <c r="K881" t="s">
        <v>45</v>
      </c>
      <c r="L881" t="s">
        <v>45</v>
      </c>
      <c r="M881" t="s">
        <v>72</v>
      </c>
      <c r="N881" s="15">
        <v>126.9</v>
      </c>
      <c r="O881" s="16">
        <v>-11</v>
      </c>
      <c r="P881">
        <v>0</v>
      </c>
    </row>
    <row r="882" spans="1:16" x14ac:dyDescent="0.3">
      <c r="A882" t="s">
        <v>57</v>
      </c>
      <c r="B882" t="s">
        <v>21</v>
      </c>
      <c r="C882" t="s">
        <v>62</v>
      </c>
      <c r="D882" t="s">
        <v>15</v>
      </c>
      <c r="E882" t="s">
        <v>75</v>
      </c>
      <c r="F882" t="s">
        <v>9</v>
      </c>
      <c r="G882" s="15">
        <v>109.24</v>
      </c>
      <c r="H882" t="s">
        <v>26</v>
      </c>
      <c r="I882">
        <v>2</v>
      </c>
      <c r="J882" t="s">
        <v>48</v>
      </c>
      <c r="K882" t="s">
        <v>46</v>
      </c>
      <c r="L882" t="s">
        <v>45</v>
      </c>
      <c r="M882" t="s">
        <v>67</v>
      </c>
      <c r="N882" s="15">
        <v>120.06</v>
      </c>
      <c r="O882" s="16">
        <v>-9</v>
      </c>
      <c r="P882">
        <v>0</v>
      </c>
    </row>
    <row r="883" spans="1:16" x14ac:dyDescent="0.3">
      <c r="A883" t="s">
        <v>57</v>
      </c>
      <c r="B883" t="s">
        <v>19</v>
      </c>
      <c r="C883" t="s">
        <v>19</v>
      </c>
      <c r="D883" t="s">
        <v>11</v>
      </c>
      <c r="E883" t="s">
        <v>70</v>
      </c>
      <c r="F883" t="s">
        <v>9</v>
      </c>
      <c r="G883" s="15">
        <v>28.46</v>
      </c>
      <c r="H883" t="s">
        <v>26</v>
      </c>
      <c r="I883">
        <v>2</v>
      </c>
      <c r="J883" t="s">
        <v>48</v>
      </c>
      <c r="K883" t="s">
        <v>46</v>
      </c>
      <c r="L883" t="s">
        <v>45</v>
      </c>
      <c r="M883" t="s">
        <v>78</v>
      </c>
      <c r="N883" s="15">
        <v>30.5</v>
      </c>
      <c r="O883" s="16">
        <v>-6.7</v>
      </c>
      <c r="P883">
        <v>0</v>
      </c>
    </row>
    <row r="884" spans="1:16" x14ac:dyDescent="0.3">
      <c r="A884" t="s">
        <v>65</v>
      </c>
      <c r="B884" t="s">
        <v>20</v>
      </c>
      <c r="C884" t="s">
        <v>20</v>
      </c>
      <c r="D884" t="s">
        <v>11</v>
      </c>
      <c r="E884" t="s">
        <v>79</v>
      </c>
      <c r="F884" t="s">
        <v>9</v>
      </c>
      <c r="G884" s="15">
        <v>35.65</v>
      </c>
      <c r="H884" t="s">
        <v>26</v>
      </c>
      <c r="I884">
        <v>2</v>
      </c>
      <c r="J884" t="s">
        <v>48</v>
      </c>
      <c r="K884" t="s">
        <v>45</v>
      </c>
      <c r="L884" t="s">
        <v>46</v>
      </c>
      <c r="M884" t="s">
        <v>68</v>
      </c>
      <c r="N884" s="15">
        <v>33.39</v>
      </c>
      <c r="O884" s="16">
        <v>6.8</v>
      </c>
      <c r="P884">
        <v>0</v>
      </c>
    </row>
    <row r="885" spans="1:16" x14ac:dyDescent="0.3">
      <c r="A885" t="s">
        <v>65</v>
      </c>
      <c r="B885" t="s">
        <v>18</v>
      </c>
      <c r="C885" t="s">
        <v>18</v>
      </c>
      <c r="D885" t="s">
        <v>8</v>
      </c>
      <c r="E885" t="s">
        <v>73</v>
      </c>
      <c r="F885" t="s">
        <v>9</v>
      </c>
      <c r="G885" s="15">
        <v>83.28</v>
      </c>
      <c r="H885" t="s">
        <v>25</v>
      </c>
      <c r="I885">
        <v>1</v>
      </c>
      <c r="J885" t="s">
        <v>48</v>
      </c>
      <c r="K885" t="s">
        <v>46</v>
      </c>
      <c r="L885" t="s">
        <v>45</v>
      </c>
      <c r="M885" t="s">
        <v>59</v>
      </c>
      <c r="N885" s="15">
        <v>88.05</v>
      </c>
      <c r="O885" s="16">
        <v>-5.4</v>
      </c>
      <c r="P885">
        <v>0</v>
      </c>
    </row>
    <row r="886" spans="1:16" x14ac:dyDescent="0.3">
      <c r="A886" t="s">
        <v>65</v>
      </c>
      <c r="B886" t="s">
        <v>18</v>
      </c>
      <c r="C886" t="s">
        <v>18</v>
      </c>
      <c r="D886" t="s">
        <v>10</v>
      </c>
      <c r="E886" t="s">
        <v>69</v>
      </c>
      <c r="F886" t="s">
        <v>9</v>
      </c>
      <c r="G886" s="15">
        <v>144.31</v>
      </c>
      <c r="H886" t="s">
        <v>26</v>
      </c>
      <c r="I886">
        <v>2</v>
      </c>
      <c r="J886" t="s">
        <v>47</v>
      </c>
      <c r="K886" t="s">
        <v>45</v>
      </c>
      <c r="L886" t="s">
        <v>45</v>
      </c>
      <c r="M886" t="s">
        <v>78</v>
      </c>
      <c r="N886" s="15">
        <v>158.91999999999999</v>
      </c>
      <c r="O886" s="16">
        <v>-9.1999999999999993</v>
      </c>
      <c r="P886">
        <v>0</v>
      </c>
    </row>
    <row r="887" spans="1:16" x14ac:dyDescent="0.3">
      <c r="A887" t="s">
        <v>57</v>
      </c>
      <c r="B887" t="s">
        <v>21</v>
      </c>
      <c r="C887" t="s">
        <v>62</v>
      </c>
      <c r="D887" t="s">
        <v>12</v>
      </c>
      <c r="E887" t="s">
        <v>80</v>
      </c>
      <c r="F887" t="s">
        <v>13</v>
      </c>
      <c r="G887" s="15">
        <v>168.88</v>
      </c>
      <c r="H887" t="s">
        <v>26</v>
      </c>
      <c r="I887">
        <v>2</v>
      </c>
      <c r="J887" t="s">
        <v>48</v>
      </c>
      <c r="K887" t="s">
        <v>45</v>
      </c>
      <c r="L887" t="s">
        <v>45</v>
      </c>
      <c r="M887" t="s">
        <v>78</v>
      </c>
      <c r="N887" s="15">
        <v>162.72999999999999</v>
      </c>
      <c r="O887" s="16">
        <v>3.8</v>
      </c>
      <c r="P887">
        <v>0</v>
      </c>
    </row>
    <row r="888" spans="1:16" x14ac:dyDescent="0.3">
      <c r="A888" t="s">
        <v>65</v>
      </c>
      <c r="B888" t="s">
        <v>21</v>
      </c>
      <c r="C888" t="s">
        <v>62</v>
      </c>
      <c r="D888" t="s">
        <v>11</v>
      </c>
      <c r="E888" t="s">
        <v>70</v>
      </c>
      <c r="F888" t="s">
        <v>9</v>
      </c>
      <c r="G888" s="15">
        <v>29.56</v>
      </c>
      <c r="H888" t="s">
        <v>26</v>
      </c>
      <c r="I888">
        <v>2</v>
      </c>
      <c r="J888" t="s">
        <v>48</v>
      </c>
      <c r="K888" t="s">
        <v>45</v>
      </c>
      <c r="L888" t="s">
        <v>45</v>
      </c>
      <c r="M888" t="s">
        <v>61</v>
      </c>
      <c r="N888" s="15">
        <v>32.630000000000003</v>
      </c>
      <c r="O888" s="16">
        <v>-9.4</v>
      </c>
      <c r="P888">
        <v>0</v>
      </c>
    </row>
    <row r="889" spans="1:16" x14ac:dyDescent="0.3">
      <c r="A889" t="s">
        <v>65</v>
      </c>
      <c r="B889" t="s">
        <v>18</v>
      </c>
      <c r="C889" t="s">
        <v>18</v>
      </c>
      <c r="D889" t="s">
        <v>15</v>
      </c>
      <c r="E889" t="s">
        <v>76</v>
      </c>
      <c r="F889" t="s">
        <v>9</v>
      </c>
      <c r="G889" s="15">
        <v>138.25</v>
      </c>
      <c r="H889" t="s">
        <v>27</v>
      </c>
      <c r="I889">
        <v>3</v>
      </c>
      <c r="J889" t="s">
        <v>47</v>
      </c>
      <c r="K889" t="s">
        <v>45</v>
      </c>
      <c r="L889" t="s">
        <v>46</v>
      </c>
      <c r="M889" t="s">
        <v>72</v>
      </c>
      <c r="N889" s="15">
        <v>126.51</v>
      </c>
      <c r="O889" s="16">
        <v>9.3000000000000007</v>
      </c>
      <c r="P889">
        <v>0</v>
      </c>
    </row>
    <row r="890" spans="1:16" x14ac:dyDescent="0.3">
      <c r="A890" t="s">
        <v>60</v>
      </c>
      <c r="B890" t="s">
        <v>17</v>
      </c>
      <c r="C890" t="s">
        <v>17</v>
      </c>
      <c r="D890" t="s">
        <v>8</v>
      </c>
      <c r="E890" t="s">
        <v>74</v>
      </c>
      <c r="F890" t="s">
        <v>9</v>
      </c>
      <c r="G890" s="15">
        <v>109.96</v>
      </c>
      <c r="H890" t="s">
        <v>25</v>
      </c>
      <c r="I890">
        <v>1</v>
      </c>
      <c r="J890" t="s">
        <v>48</v>
      </c>
      <c r="K890" t="s">
        <v>45</v>
      </c>
      <c r="L890" t="s">
        <v>45</v>
      </c>
      <c r="M890" t="s">
        <v>59</v>
      </c>
      <c r="N890" s="15">
        <v>78.260000000000005</v>
      </c>
      <c r="O890" s="16">
        <v>40.5</v>
      </c>
      <c r="P890">
        <v>1</v>
      </c>
    </row>
    <row r="891" spans="1:16" x14ac:dyDescent="0.3">
      <c r="A891" t="s">
        <v>65</v>
      </c>
      <c r="B891" t="s">
        <v>20</v>
      </c>
      <c r="C891" t="s">
        <v>20</v>
      </c>
      <c r="D891" t="s">
        <v>8</v>
      </c>
      <c r="E891" t="s">
        <v>73</v>
      </c>
      <c r="F891" t="s">
        <v>9</v>
      </c>
      <c r="G891" s="15">
        <v>88.05</v>
      </c>
      <c r="H891" t="s">
        <v>25</v>
      </c>
      <c r="I891">
        <v>1</v>
      </c>
      <c r="J891" t="s">
        <v>47</v>
      </c>
      <c r="K891" t="s">
        <v>46</v>
      </c>
      <c r="L891" t="s">
        <v>45</v>
      </c>
      <c r="M891" t="s">
        <v>68</v>
      </c>
      <c r="N891" s="15">
        <v>88.05</v>
      </c>
      <c r="O891" s="16">
        <v>0</v>
      </c>
      <c r="P891">
        <v>0</v>
      </c>
    </row>
    <row r="892" spans="1:16" x14ac:dyDescent="0.3">
      <c r="A892" t="s">
        <v>65</v>
      </c>
      <c r="B892" t="s">
        <v>18</v>
      </c>
      <c r="C892" t="s">
        <v>18</v>
      </c>
      <c r="D892" t="s">
        <v>15</v>
      </c>
      <c r="E892" t="s">
        <v>76</v>
      </c>
      <c r="F892" t="s">
        <v>9</v>
      </c>
      <c r="G892" s="15">
        <v>127.08</v>
      </c>
      <c r="H892" t="s">
        <v>26</v>
      </c>
      <c r="I892">
        <v>2</v>
      </c>
      <c r="J892" t="s">
        <v>47</v>
      </c>
      <c r="K892" t="s">
        <v>45</v>
      </c>
      <c r="L892" t="s">
        <v>45</v>
      </c>
      <c r="M892" t="s">
        <v>59</v>
      </c>
      <c r="N892" s="15">
        <v>126.51</v>
      </c>
      <c r="O892" s="16">
        <v>0.5</v>
      </c>
      <c r="P892">
        <v>0</v>
      </c>
    </row>
    <row r="893" spans="1:16" x14ac:dyDescent="0.3">
      <c r="A893" t="s">
        <v>65</v>
      </c>
      <c r="B893" t="s">
        <v>18</v>
      </c>
      <c r="C893" t="s">
        <v>18</v>
      </c>
      <c r="D893" t="s">
        <v>15</v>
      </c>
      <c r="E893" t="s">
        <v>76</v>
      </c>
      <c r="F893" t="s">
        <v>9</v>
      </c>
      <c r="G893" s="15">
        <v>138.69999999999999</v>
      </c>
      <c r="H893" t="s">
        <v>25</v>
      </c>
      <c r="I893">
        <v>1</v>
      </c>
      <c r="J893" t="s">
        <v>47</v>
      </c>
      <c r="K893" t="s">
        <v>45</v>
      </c>
      <c r="L893" t="s">
        <v>45</v>
      </c>
      <c r="M893" t="s">
        <v>68</v>
      </c>
      <c r="N893" s="15">
        <v>126.51</v>
      </c>
      <c r="O893" s="16">
        <v>9.6</v>
      </c>
      <c r="P893">
        <v>0</v>
      </c>
    </row>
    <row r="894" spans="1:16" x14ac:dyDescent="0.3">
      <c r="A894" t="s">
        <v>57</v>
      </c>
      <c r="B894" t="s">
        <v>19</v>
      </c>
      <c r="C894" t="s">
        <v>19</v>
      </c>
      <c r="D894" t="s">
        <v>10</v>
      </c>
      <c r="E894" t="s">
        <v>69</v>
      </c>
      <c r="F894" t="s">
        <v>9</v>
      </c>
      <c r="G894" s="15">
        <v>151.88</v>
      </c>
      <c r="H894" t="s">
        <v>26</v>
      </c>
      <c r="I894">
        <v>2</v>
      </c>
      <c r="J894" t="s">
        <v>47</v>
      </c>
      <c r="K894" t="s">
        <v>46</v>
      </c>
      <c r="L894" t="s">
        <v>45</v>
      </c>
      <c r="M894" t="s">
        <v>78</v>
      </c>
      <c r="N894" s="15">
        <v>150.38999999999999</v>
      </c>
      <c r="O894" s="16">
        <v>1</v>
      </c>
      <c r="P894">
        <v>0</v>
      </c>
    </row>
    <row r="895" spans="1:16" x14ac:dyDescent="0.3">
      <c r="A895" t="s">
        <v>60</v>
      </c>
      <c r="B895" t="s">
        <v>22</v>
      </c>
      <c r="C895" t="s">
        <v>22</v>
      </c>
      <c r="D895" t="s">
        <v>11</v>
      </c>
      <c r="E895" t="s">
        <v>70</v>
      </c>
      <c r="F895" t="s">
        <v>9</v>
      </c>
      <c r="G895" s="15">
        <v>27.19</v>
      </c>
      <c r="H895" t="s">
        <v>26</v>
      </c>
      <c r="I895">
        <v>2</v>
      </c>
      <c r="J895" t="s">
        <v>48</v>
      </c>
      <c r="K895" t="s">
        <v>46</v>
      </c>
      <c r="L895" t="s">
        <v>45</v>
      </c>
      <c r="M895" t="s">
        <v>67</v>
      </c>
      <c r="N895" s="15">
        <v>31.4</v>
      </c>
      <c r="O895" s="16">
        <v>-13.4</v>
      </c>
      <c r="P895">
        <v>0</v>
      </c>
    </row>
    <row r="896" spans="1:16" x14ac:dyDescent="0.3">
      <c r="A896" t="s">
        <v>57</v>
      </c>
      <c r="B896" t="s">
        <v>17</v>
      </c>
      <c r="C896" t="s">
        <v>17</v>
      </c>
      <c r="D896" t="s">
        <v>11</v>
      </c>
      <c r="E896" t="s">
        <v>79</v>
      </c>
      <c r="F896" t="s">
        <v>9</v>
      </c>
      <c r="G896" s="15">
        <v>26.51</v>
      </c>
      <c r="H896" t="s">
        <v>26</v>
      </c>
      <c r="I896">
        <v>2</v>
      </c>
      <c r="J896" t="s">
        <v>48</v>
      </c>
      <c r="K896" t="s">
        <v>45</v>
      </c>
      <c r="L896" t="s">
        <v>45</v>
      </c>
      <c r="M896" t="s">
        <v>59</v>
      </c>
      <c r="N896" s="15">
        <v>30.93</v>
      </c>
      <c r="O896" s="16">
        <v>-14.3</v>
      </c>
      <c r="P896">
        <v>0</v>
      </c>
    </row>
    <row r="897" spans="1:16" x14ac:dyDescent="0.3">
      <c r="A897" t="s">
        <v>57</v>
      </c>
      <c r="B897" t="s">
        <v>19</v>
      </c>
      <c r="C897" t="s">
        <v>19</v>
      </c>
      <c r="D897" t="s">
        <v>15</v>
      </c>
      <c r="E897" t="s">
        <v>76</v>
      </c>
      <c r="F897" t="s">
        <v>9</v>
      </c>
      <c r="G897" s="15">
        <v>132.63</v>
      </c>
      <c r="H897" t="s">
        <v>26</v>
      </c>
      <c r="I897">
        <v>2</v>
      </c>
      <c r="J897" t="s">
        <v>47</v>
      </c>
      <c r="K897" t="s">
        <v>45</v>
      </c>
      <c r="L897" t="s">
        <v>45</v>
      </c>
      <c r="M897" t="s">
        <v>64</v>
      </c>
      <c r="N897" s="15">
        <v>118.59</v>
      </c>
      <c r="O897" s="16">
        <v>11.8</v>
      </c>
      <c r="P897">
        <v>0</v>
      </c>
    </row>
    <row r="898" spans="1:16" x14ac:dyDescent="0.3">
      <c r="A898" t="s">
        <v>60</v>
      </c>
      <c r="B898" t="s">
        <v>19</v>
      </c>
      <c r="C898" t="s">
        <v>19</v>
      </c>
      <c r="D898" t="s">
        <v>14</v>
      </c>
      <c r="E898" t="s">
        <v>63</v>
      </c>
      <c r="F898" t="s">
        <v>9</v>
      </c>
      <c r="G898" s="15">
        <v>80</v>
      </c>
      <c r="H898" t="s">
        <v>25</v>
      </c>
      <c r="I898">
        <v>1</v>
      </c>
      <c r="J898" t="s">
        <v>48</v>
      </c>
      <c r="K898" t="s">
        <v>45</v>
      </c>
      <c r="L898" t="s">
        <v>45</v>
      </c>
      <c r="M898" t="s">
        <v>67</v>
      </c>
      <c r="N898" s="15">
        <v>66.680000000000007</v>
      </c>
      <c r="O898" s="16">
        <v>20</v>
      </c>
      <c r="P898">
        <v>1</v>
      </c>
    </row>
    <row r="899" spans="1:16" x14ac:dyDescent="0.3">
      <c r="A899" t="s">
        <v>57</v>
      </c>
      <c r="B899" t="s">
        <v>22</v>
      </c>
      <c r="C899" t="s">
        <v>22</v>
      </c>
      <c r="D899" t="s">
        <v>15</v>
      </c>
      <c r="E899" t="s">
        <v>75</v>
      </c>
      <c r="F899" t="s">
        <v>9</v>
      </c>
      <c r="G899" s="15">
        <v>119.1</v>
      </c>
      <c r="H899" t="s">
        <v>27</v>
      </c>
      <c r="I899">
        <v>3</v>
      </c>
      <c r="J899" t="s">
        <v>47</v>
      </c>
      <c r="K899" t="s">
        <v>46</v>
      </c>
      <c r="L899" t="s">
        <v>45</v>
      </c>
      <c r="M899" t="s">
        <v>72</v>
      </c>
      <c r="N899" s="15">
        <v>120.06</v>
      </c>
      <c r="O899" s="16">
        <v>-0.8</v>
      </c>
      <c r="P899">
        <v>0</v>
      </c>
    </row>
    <row r="900" spans="1:16" x14ac:dyDescent="0.3">
      <c r="A900" t="s">
        <v>65</v>
      </c>
      <c r="B900" t="s">
        <v>22</v>
      </c>
      <c r="C900" t="s">
        <v>22</v>
      </c>
      <c r="D900" t="s">
        <v>8</v>
      </c>
      <c r="E900" t="s">
        <v>74</v>
      </c>
      <c r="F900" t="s">
        <v>9</v>
      </c>
      <c r="G900" s="15">
        <v>96.78</v>
      </c>
      <c r="H900" t="s">
        <v>26</v>
      </c>
      <c r="I900">
        <v>2</v>
      </c>
      <c r="J900" t="s">
        <v>47</v>
      </c>
      <c r="K900" t="s">
        <v>46</v>
      </c>
      <c r="L900" t="s">
        <v>45</v>
      </c>
      <c r="M900" t="s">
        <v>68</v>
      </c>
      <c r="N900" s="15">
        <v>91.13</v>
      </c>
      <c r="O900" s="16">
        <v>6.2</v>
      </c>
      <c r="P900">
        <v>0</v>
      </c>
    </row>
    <row r="901" spans="1:16" x14ac:dyDescent="0.3">
      <c r="A901" t="s">
        <v>57</v>
      </c>
      <c r="B901" t="s">
        <v>21</v>
      </c>
      <c r="C901" t="s">
        <v>62</v>
      </c>
      <c r="D901" t="s">
        <v>14</v>
      </c>
      <c r="E901" t="s">
        <v>71</v>
      </c>
      <c r="F901" t="s">
        <v>9</v>
      </c>
      <c r="G901" s="15">
        <v>57.94</v>
      </c>
      <c r="H901" t="s">
        <v>27</v>
      </c>
      <c r="I901">
        <v>3</v>
      </c>
      <c r="J901" t="s">
        <v>48</v>
      </c>
      <c r="K901" t="s">
        <v>46</v>
      </c>
      <c r="L901" t="s">
        <v>45</v>
      </c>
      <c r="M901" t="s">
        <v>72</v>
      </c>
      <c r="N901" s="15">
        <v>65.77</v>
      </c>
      <c r="O901" s="16">
        <v>-11.9</v>
      </c>
      <c r="P901">
        <v>0</v>
      </c>
    </row>
    <row r="902" spans="1:16" x14ac:dyDescent="0.3">
      <c r="A902" t="s">
        <v>57</v>
      </c>
      <c r="B902" t="s">
        <v>18</v>
      </c>
      <c r="C902" t="s">
        <v>18</v>
      </c>
      <c r="D902" t="s">
        <v>15</v>
      </c>
      <c r="E902" t="s">
        <v>75</v>
      </c>
      <c r="F902" t="s">
        <v>9</v>
      </c>
      <c r="G902" s="15">
        <v>114.1</v>
      </c>
      <c r="H902" t="s">
        <v>27</v>
      </c>
      <c r="I902">
        <v>3</v>
      </c>
      <c r="J902" t="s">
        <v>48</v>
      </c>
      <c r="K902" t="s">
        <v>46</v>
      </c>
      <c r="L902" t="s">
        <v>45</v>
      </c>
      <c r="M902" t="s">
        <v>64</v>
      </c>
      <c r="N902" s="15">
        <v>120.06</v>
      </c>
      <c r="O902" s="16">
        <v>-5</v>
      </c>
      <c r="P902">
        <v>0</v>
      </c>
    </row>
    <row r="903" spans="1:16" x14ac:dyDescent="0.3">
      <c r="A903" t="s">
        <v>57</v>
      </c>
      <c r="B903" t="s">
        <v>22</v>
      </c>
      <c r="C903" t="s">
        <v>22</v>
      </c>
      <c r="D903" t="s">
        <v>11</v>
      </c>
      <c r="E903" t="s">
        <v>79</v>
      </c>
      <c r="F903" t="s">
        <v>9</v>
      </c>
      <c r="G903" s="15">
        <v>25.06</v>
      </c>
      <c r="H903" t="s">
        <v>27</v>
      </c>
      <c r="I903">
        <v>3</v>
      </c>
      <c r="J903" t="s">
        <v>48</v>
      </c>
      <c r="K903" t="s">
        <v>46</v>
      </c>
      <c r="L903" t="s">
        <v>45</v>
      </c>
      <c r="M903" t="s">
        <v>78</v>
      </c>
      <c r="N903" s="15">
        <v>30.93</v>
      </c>
      <c r="O903" s="16">
        <v>-19</v>
      </c>
      <c r="P903">
        <v>0</v>
      </c>
    </row>
    <row r="904" spans="1:16" x14ac:dyDescent="0.3">
      <c r="A904" t="s">
        <v>65</v>
      </c>
      <c r="B904" t="s">
        <v>21</v>
      </c>
      <c r="C904" t="s">
        <v>62</v>
      </c>
      <c r="D904" t="s">
        <v>14</v>
      </c>
      <c r="E904" t="s">
        <v>77</v>
      </c>
      <c r="F904" t="s">
        <v>9</v>
      </c>
      <c r="G904" s="15">
        <v>78.400000000000006</v>
      </c>
      <c r="H904" t="s">
        <v>27</v>
      </c>
      <c r="I904">
        <v>3</v>
      </c>
      <c r="J904" t="s">
        <v>47</v>
      </c>
      <c r="K904" t="s">
        <v>45</v>
      </c>
      <c r="L904" t="s">
        <v>46</v>
      </c>
      <c r="M904" t="s">
        <v>61</v>
      </c>
      <c r="N904" s="15">
        <v>70.66</v>
      </c>
      <c r="O904" s="16">
        <v>11</v>
      </c>
      <c r="P904">
        <v>0</v>
      </c>
    </row>
    <row r="905" spans="1:16" x14ac:dyDescent="0.3">
      <c r="A905" t="s">
        <v>60</v>
      </c>
      <c r="B905" t="s">
        <v>19</v>
      </c>
      <c r="C905" t="s">
        <v>19</v>
      </c>
      <c r="D905" t="s">
        <v>14</v>
      </c>
      <c r="E905" t="s">
        <v>63</v>
      </c>
      <c r="F905" t="s">
        <v>9</v>
      </c>
      <c r="G905" s="15">
        <v>57.54</v>
      </c>
      <c r="H905" t="s">
        <v>27</v>
      </c>
      <c r="I905">
        <v>3</v>
      </c>
      <c r="J905" t="s">
        <v>48</v>
      </c>
      <c r="K905" t="s">
        <v>46</v>
      </c>
      <c r="L905" t="s">
        <v>45</v>
      </c>
      <c r="M905" t="s">
        <v>61</v>
      </c>
      <c r="N905" s="15">
        <v>66.680000000000007</v>
      </c>
      <c r="O905" s="16">
        <v>-13.7</v>
      </c>
      <c r="P905">
        <v>0</v>
      </c>
    </row>
    <row r="906" spans="1:16" x14ac:dyDescent="0.3">
      <c r="A906" t="s">
        <v>60</v>
      </c>
      <c r="B906" t="s">
        <v>19</v>
      </c>
      <c r="C906" t="s">
        <v>19</v>
      </c>
      <c r="D906" t="s">
        <v>8</v>
      </c>
      <c r="E906" t="s">
        <v>74</v>
      </c>
      <c r="F906" t="s">
        <v>9</v>
      </c>
      <c r="G906" s="15">
        <v>99.25</v>
      </c>
      <c r="H906" t="s">
        <v>25</v>
      </c>
      <c r="I906">
        <v>1</v>
      </c>
      <c r="J906" t="s">
        <v>48</v>
      </c>
      <c r="K906" t="s">
        <v>46</v>
      </c>
      <c r="L906" t="s">
        <v>45</v>
      </c>
      <c r="M906" t="s">
        <v>59</v>
      </c>
      <c r="N906" s="15">
        <v>78.260000000000005</v>
      </c>
      <c r="O906" s="16">
        <v>26.8</v>
      </c>
      <c r="P906">
        <v>1</v>
      </c>
    </row>
    <row r="907" spans="1:16" x14ac:dyDescent="0.3">
      <c r="A907" t="s">
        <v>57</v>
      </c>
      <c r="B907" t="s">
        <v>21</v>
      </c>
      <c r="C907" t="s">
        <v>62</v>
      </c>
      <c r="D907" t="s">
        <v>14</v>
      </c>
      <c r="E907" t="s">
        <v>77</v>
      </c>
      <c r="F907" t="s">
        <v>9</v>
      </c>
      <c r="G907" s="15">
        <v>61.28</v>
      </c>
      <c r="H907" t="s">
        <v>26</v>
      </c>
      <c r="I907">
        <v>2</v>
      </c>
      <c r="J907" t="s">
        <v>48</v>
      </c>
      <c r="K907" t="s">
        <v>46</v>
      </c>
      <c r="L907" t="s">
        <v>46</v>
      </c>
      <c r="M907" t="s">
        <v>64</v>
      </c>
      <c r="N907" s="15">
        <v>65.97</v>
      </c>
      <c r="O907" s="16">
        <v>-7.1</v>
      </c>
      <c r="P907">
        <v>0</v>
      </c>
    </row>
    <row r="908" spans="1:16" x14ac:dyDescent="0.3">
      <c r="A908" t="s">
        <v>65</v>
      </c>
      <c r="B908" t="s">
        <v>17</v>
      </c>
      <c r="C908" t="s">
        <v>17</v>
      </c>
      <c r="D908" t="s">
        <v>15</v>
      </c>
      <c r="E908" t="s">
        <v>76</v>
      </c>
      <c r="F908" t="s">
        <v>9</v>
      </c>
      <c r="G908" s="15">
        <v>133.07</v>
      </c>
      <c r="H908" t="s">
        <v>26</v>
      </c>
      <c r="I908">
        <v>2</v>
      </c>
      <c r="J908" t="s">
        <v>47</v>
      </c>
      <c r="K908" t="s">
        <v>45</v>
      </c>
      <c r="L908" t="s">
        <v>46</v>
      </c>
      <c r="M908" t="s">
        <v>78</v>
      </c>
      <c r="N908" s="15">
        <v>126.51</v>
      </c>
      <c r="O908" s="16">
        <v>5.2</v>
      </c>
      <c r="P908">
        <v>0</v>
      </c>
    </row>
    <row r="909" spans="1:16" x14ac:dyDescent="0.3">
      <c r="A909" t="s">
        <v>65</v>
      </c>
      <c r="B909" t="s">
        <v>17</v>
      </c>
      <c r="C909" t="s">
        <v>17</v>
      </c>
      <c r="D909" t="s">
        <v>10</v>
      </c>
      <c r="E909" t="s">
        <v>58</v>
      </c>
      <c r="F909" t="s">
        <v>9</v>
      </c>
      <c r="G909" s="15">
        <v>168.83</v>
      </c>
      <c r="H909" t="s">
        <v>25</v>
      </c>
      <c r="I909">
        <v>1</v>
      </c>
      <c r="J909" t="s">
        <v>47</v>
      </c>
      <c r="K909" t="s">
        <v>46</v>
      </c>
      <c r="L909" t="s">
        <v>46</v>
      </c>
      <c r="M909" t="s">
        <v>78</v>
      </c>
      <c r="N909" s="15">
        <v>166.29</v>
      </c>
      <c r="O909" s="16">
        <v>1.5</v>
      </c>
      <c r="P909">
        <v>0</v>
      </c>
    </row>
    <row r="910" spans="1:16" x14ac:dyDescent="0.3">
      <c r="A910" t="s">
        <v>65</v>
      </c>
      <c r="B910" t="s">
        <v>19</v>
      </c>
      <c r="C910" t="s">
        <v>19</v>
      </c>
      <c r="D910" t="s">
        <v>15</v>
      </c>
      <c r="E910" t="s">
        <v>76</v>
      </c>
      <c r="F910" t="s">
        <v>9</v>
      </c>
      <c r="G910" s="15">
        <v>112.81</v>
      </c>
      <c r="H910" t="s">
        <v>25</v>
      </c>
      <c r="I910">
        <v>1</v>
      </c>
      <c r="J910" t="s">
        <v>48</v>
      </c>
      <c r="K910" t="s">
        <v>46</v>
      </c>
      <c r="L910" t="s">
        <v>45</v>
      </c>
      <c r="M910" t="s">
        <v>61</v>
      </c>
      <c r="N910" s="15">
        <v>126.51</v>
      </c>
      <c r="O910" s="16">
        <v>-10.8</v>
      </c>
      <c r="P910">
        <v>0</v>
      </c>
    </row>
    <row r="911" spans="1:16" x14ac:dyDescent="0.3">
      <c r="A911" t="s">
        <v>65</v>
      </c>
      <c r="B911" t="s">
        <v>22</v>
      </c>
      <c r="C911" t="s">
        <v>22</v>
      </c>
      <c r="D911" t="s">
        <v>12</v>
      </c>
      <c r="E911" t="s">
        <v>66</v>
      </c>
      <c r="F911" t="s">
        <v>13</v>
      </c>
      <c r="G911" s="15">
        <v>194.39</v>
      </c>
      <c r="H911" t="s">
        <v>26</v>
      </c>
      <c r="I911">
        <v>2</v>
      </c>
      <c r="J911" t="s">
        <v>47</v>
      </c>
      <c r="K911" t="s">
        <v>45</v>
      </c>
      <c r="L911" t="s">
        <v>46</v>
      </c>
      <c r="M911" t="s">
        <v>68</v>
      </c>
      <c r="N911" s="15">
        <v>178.49</v>
      </c>
      <c r="O911" s="16">
        <v>8.9</v>
      </c>
      <c r="P911">
        <v>0</v>
      </c>
    </row>
    <row r="912" spans="1:16" x14ac:dyDescent="0.3">
      <c r="A912" t="s">
        <v>65</v>
      </c>
      <c r="B912" t="s">
        <v>21</v>
      </c>
      <c r="C912" t="s">
        <v>62</v>
      </c>
      <c r="D912" t="s">
        <v>15</v>
      </c>
      <c r="E912" t="s">
        <v>76</v>
      </c>
      <c r="F912" t="s">
        <v>9</v>
      </c>
      <c r="G912" s="15">
        <v>115.32</v>
      </c>
      <c r="H912" t="s">
        <v>27</v>
      </c>
      <c r="I912">
        <v>3</v>
      </c>
      <c r="J912" t="s">
        <v>47</v>
      </c>
      <c r="K912" t="s">
        <v>46</v>
      </c>
      <c r="L912" t="s">
        <v>46</v>
      </c>
      <c r="M912" t="s">
        <v>68</v>
      </c>
      <c r="N912" s="15">
        <v>126.51</v>
      </c>
      <c r="O912" s="16">
        <v>-8.8000000000000007</v>
      </c>
      <c r="P912">
        <v>0</v>
      </c>
    </row>
    <row r="913" spans="1:16" x14ac:dyDescent="0.3">
      <c r="A913" t="s">
        <v>57</v>
      </c>
      <c r="B913" t="s">
        <v>17</v>
      </c>
      <c r="C913" t="s">
        <v>17</v>
      </c>
      <c r="D913" t="s">
        <v>12</v>
      </c>
      <c r="E913" t="s">
        <v>80</v>
      </c>
      <c r="F913" t="s">
        <v>13</v>
      </c>
      <c r="G913" s="15">
        <v>188.42</v>
      </c>
      <c r="H913" t="s">
        <v>25</v>
      </c>
      <c r="I913">
        <v>1</v>
      </c>
      <c r="J913" t="s">
        <v>48</v>
      </c>
      <c r="K913" t="s">
        <v>46</v>
      </c>
      <c r="L913" t="s">
        <v>46</v>
      </c>
      <c r="M913" t="s">
        <v>67</v>
      </c>
      <c r="N913" s="15">
        <v>162.72999999999999</v>
      </c>
      <c r="O913" s="16">
        <v>15.8</v>
      </c>
      <c r="P913">
        <v>1</v>
      </c>
    </row>
    <row r="914" spans="1:16" x14ac:dyDescent="0.3">
      <c r="A914" t="s">
        <v>65</v>
      </c>
      <c r="B914" t="s">
        <v>21</v>
      </c>
      <c r="C914" t="s">
        <v>62</v>
      </c>
      <c r="D914" t="s">
        <v>12</v>
      </c>
      <c r="E914" t="s">
        <v>66</v>
      </c>
      <c r="F914" t="s">
        <v>13</v>
      </c>
      <c r="G914" s="15">
        <v>200</v>
      </c>
      <c r="H914" t="s">
        <v>25</v>
      </c>
      <c r="I914">
        <v>1</v>
      </c>
      <c r="J914" t="s">
        <v>44</v>
      </c>
      <c r="K914" t="s">
        <v>45</v>
      </c>
      <c r="L914" t="s">
        <v>45</v>
      </c>
      <c r="M914" t="s">
        <v>64</v>
      </c>
      <c r="N914" s="15">
        <v>178.49</v>
      </c>
      <c r="O914" s="16">
        <v>12.1</v>
      </c>
      <c r="P914">
        <v>0</v>
      </c>
    </row>
    <row r="915" spans="1:16" x14ac:dyDescent="0.3">
      <c r="A915" t="s">
        <v>60</v>
      </c>
      <c r="B915" t="s">
        <v>20</v>
      </c>
      <c r="C915" t="s">
        <v>20</v>
      </c>
      <c r="D915" t="s">
        <v>11</v>
      </c>
      <c r="E915" t="s">
        <v>79</v>
      </c>
      <c r="F915" t="s">
        <v>9</v>
      </c>
      <c r="G915" s="15">
        <v>31.15</v>
      </c>
      <c r="H915" t="s">
        <v>25</v>
      </c>
      <c r="I915">
        <v>1</v>
      </c>
      <c r="J915" t="s">
        <v>47</v>
      </c>
      <c r="K915" t="s">
        <v>46</v>
      </c>
      <c r="L915" t="s">
        <v>45</v>
      </c>
      <c r="M915" t="s">
        <v>78</v>
      </c>
      <c r="N915" s="15">
        <v>29.14</v>
      </c>
      <c r="O915" s="16">
        <v>6.9</v>
      </c>
      <c r="P915">
        <v>0</v>
      </c>
    </row>
    <row r="916" spans="1:16" x14ac:dyDescent="0.3">
      <c r="A916" t="s">
        <v>60</v>
      </c>
      <c r="B916" t="s">
        <v>19</v>
      </c>
      <c r="C916" t="s">
        <v>19</v>
      </c>
      <c r="D916" t="s">
        <v>12</v>
      </c>
      <c r="E916" t="s">
        <v>66</v>
      </c>
      <c r="F916" t="s">
        <v>13</v>
      </c>
      <c r="G916" s="15">
        <v>161.22</v>
      </c>
      <c r="H916" t="s">
        <v>26</v>
      </c>
      <c r="I916">
        <v>2</v>
      </c>
      <c r="J916" t="s">
        <v>48</v>
      </c>
      <c r="K916" t="s">
        <v>46</v>
      </c>
      <c r="L916" t="s">
        <v>45</v>
      </c>
      <c r="M916" t="s">
        <v>68</v>
      </c>
      <c r="N916" s="15">
        <v>168.34</v>
      </c>
      <c r="O916" s="16">
        <v>-4.2</v>
      </c>
      <c r="P916">
        <v>0</v>
      </c>
    </row>
    <row r="917" spans="1:16" x14ac:dyDescent="0.3">
      <c r="A917" t="s">
        <v>60</v>
      </c>
      <c r="B917" t="s">
        <v>21</v>
      </c>
      <c r="C917" t="s">
        <v>62</v>
      </c>
      <c r="D917" t="s">
        <v>14</v>
      </c>
      <c r="E917" t="s">
        <v>71</v>
      </c>
      <c r="F917" t="s">
        <v>9</v>
      </c>
      <c r="G917" s="15">
        <v>71.16</v>
      </c>
      <c r="H917" t="s">
        <v>25</v>
      </c>
      <c r="I917">
        <v>1</v>
      </c>
      <c r="J917" t="s">
        <v>48</v>
      </c>
      <c r="K917" t="s">
        <v>45</v>
      </c>
      <c r="L917" t="s">
        <v>45</v>
      </c>
      <c r="M917" t="s">
        <v>78</v>
      </c>
      <c r="N917" s="15">
        <v>65.239999999999995</v>
      </c>
      <c r="O917" s="16">
        <v>9.1</v>
      </c>
      <c r="P917">
        <v>0</v>
      </c>
    </row>
    <row r="918" spans="1:16" x14ac:dyDescent="0.3">
      <c r="A918" t="s">
        <v>65</v>
      </c>
      <c r="B918" t="s">
        <v>21</v>
      </c>
      <c r="C918" t="s">
        <v>62</v>
      </c>
      <c r="D918" t="s">
        <v>14</v>
      </c>
      <c r="E918" t="s">
        <v>63</v>
      </c>
      <c r="F918" t="s">
        <v>9</v>
      </c>
      <c r="G918" s="15">
        <v>67.98</v>
      </c>
      <c r="H918" t="s">
        <v>26</v>
      </c>
      <c r="I918">
        <v>2</v>
      </c>
      <c r="J918" t="s">
        <v>48</v>
      </c>
      <c r="K918" t="s">
        <v>45</v>
      </c>
      <c r="L918" t="s">
        <v>45</v>
      </c>
      <c r="M918" t="s">
        <v>59</v>
      </c>
      <c r="N918" s="15">
        <v>68.150000000000006</v>
      </c>
      <c r="O918" s="16">
        <v>-0.2</v>
      </c>
      <c r="P918">
        <v>0</v>
      </c>
    </row>
    <row r="919" spans="1:16" x14ac:dyDescent="0.3">
      <c r="A919" t="s">
        <v>60</v>
      </c>
      <c r="B919" t="s">
        <v>22</v>
      </c>
      <c r="C919" t="s">
        <v>22</v>
      </c>
      <c r="D919" t="s">
        <v>11</v>
      </c>
      <c r="E919" t="s">
        <v>70</v>
      </c>
      <c r="F919" t="s">
        <v>9</v>
      </c>
      <c r="G919" s="15">
        <v>28.21</v>
      </c>
      <c r="H919" t="s">
        <v>26</v>
      </c>
      <c r="I919">
        <v>2</v>
      </c>
      <c r="J919" t="s">
        <v>48</v>
      </c>
      <c r="K919" t="s">
        <v>45</v>
      </c>
      <c r="L919" t="s">
        <v>45</v>
      </c>
      <c r="M919" t="s">
        <v>64</v>
      </c>
      <c r="N919" s="15">
        <v>31.4</v>
      </c>
      <c r="O919" s="16">
        <v>-10.199999999999999</v>
      </c>
      <c r="P919">
        <v>0</v>
      </c>
    </row>
    <row r="920" spans="1:16" x14ac:dyDescent="0.3">
      <c r="A920" t="s">
        <v>65</v>
      </c>
      <c r="B920" t="s">
        <v>20</v>
      </c>
      <c r="C920" t="s">
        <v>20</v>
      </c>
      <c r="D920" t="s">
        <v>15</v>
      </c>
      <c r="E920" t="s">
        <v>75</v>
      </c>
      <c r="F920" t="s">
        <v>9</v>
      </c>
      <c r="G920" s="15">
        <v>130.33000000000001</v>
      </c>
      <c r="H920" t="s">
        <v>26</v>
      </c>
      <c r="I920">
        <v>2</v>
      </c>
      <c r="J920" t="s">
        <v>44</v>
      </c>
      <c r="K920" t="s">
        <v>46</v>
      </c>
      <c r="L920" t="s">
        <v>45</v>
      </c>
      <c r="M920" t="s">
        <v>72</v>
      </c>
      <c r="N920" s="15">
        <v>126.9</v>
      </c>
      <c r="O920" s="16">
        <v>2.7</v>
      </c>
      <c r="P920">
        <v>0</v>
      </c>
    </row>
    <row r="921" spans="1:16" x14ac:dyDescent="0.3">
      <c r="A921" t="s">
        <v>65</v>
      </c>
      <c r="B921" t="s">
        <v>19</v>
      </c>
      <c r="C921" t="s">
        <v>19</v>
      </c>
      <c r="D921" t="s">
        <v>11</v>
      </c>
      <c r="E921" t="s">
        <v>79</v>
      </c>
      <c r="F921" t="s">
        <v>9</v>
      </c>
      <c r="G921" s="15">
        <v>35.01</v>
      </c>
      <c r="H921" t="s">
        <v>25</v>
      </c>
      <c r="I921">
        <v>1</v>
      </c>
      <c r="J921" t="s">
        <v>44</v>
      </c>
      <c r="K921" t="s">
        <v>45</v>
      </c>
      <c r="L921" t="s">
        <v>45</v>
      </c>
      <c r="M921" t="s">
        <v>59</v>
      </c>
      <c r="N921" s="15">
        <v>33.39</v>
      </c>
      <c r="O921" s="16">
        <v>4.9000000000000004</v>
      </c>
      <c r="P921">
        <v>0</v>
      </c>
    </row>
    <row r="922" spans="1:16" x14ac:dyDescent="0.3">
      <c r="A922" t="s">
        <v>57</v>
      </c>
      <c r="B922" t="s">
        <v>21</v>
      </c>
      <c r="C922" t="s">
        <v>62</v>
      </c>
      <c r="D922" t="s">
        <v>14</v>
      </c>
      <c r="E922" t="s">
        <v>63</v>
      </c>
      <c r="F922" t="s">
        <v>9</v>
      </c>
      <c r="G922" s="15">
        <v>78.97</v>
      </c>
      <c r="H922" t="s">
        <v>25</v>
      </c>
      <c r="I922">
        <v>1</v>
      </c>
      <c r="J922" t="s">
        <v>48</v>
      </c>
      <c r="K922" t="s">
        <v>46</v>
      </c>
      <c r="L922" t="s">
        <v>45</v>
      </c>
      <c r="M922" t="s">
        <v>68</v>
      </c>
      <c r="N922" s="15">
        <v>65.16</v>
      </c>
      <c r="O922" s="16">
        <v>21.2</v>
      </c>
      <c r="P922">
        <v>1</v>
      </c>
    </row>
    <row r="923" spans="1:16" x14ac:dyDescent="0.3">
      <c r="A923" t="s">
        <v>60</v>
      </c>
      <c r="B923" t="s">
        <v>21</v>
      </c>
      <c r="C923" t="s">
        <v>62</v>
      </c>
      <c r="D923" t="s">
        <v>12</v>
      </c>
      <c r="E923" t="s">
        <v>66</v>
      </c>
      <c r="F923" t="s">
        <v>13</v>
      </c>
      <c r="G923" s="15">
        <v>166.22</v>
      </c>
      <c r="H923" t="s">
        <v>25</v>
      </c>
      <c r="I923">
        <v>1</v>
      </c>
      <c r="J923" t="s">
        <v>48</v>
      </c>
      <c r="K923" t="s">
        <v>45</v>
      </c>
      <c r="L923" t="s">
        <v>45</v>
      </c>
      <c r="M923" t="s">
        <v>67</v>
      </c>
      <c r="N923" s="15">
        <v>168.34</v>
      </c>
      <c r="O923" s="16">
        <v>-1.3</v>
      </c>
      <c r="P923">
        <v>0</v>
      </c>
    </row>
    <row r="924" spans="1:16" x14ac:dyDescent="0.3">
      <c r="A924" t="s">
        <v>60</v>
      </c>
      <c r="B924" t="s">
        <v>20</v>
      </c>
      <c r="C924" t="s">
        <v>20</v>
      </c>
      <c r="D924" t="s">
        <v>8</v>
      </c>
      <c r="E924" t="s">
        <v>73</v>
      </c>
      <c r="F924" t="s">
        <v>9</v>
      </c>
      <c r="G924" s="15">
        <v>92.84</v>
      </c>
      <c r="H924" t="s">
        <v>26</v>
      </c>
      <c r="I924">
        <v>2</v>
      </c>
      <c r="J924" t="s">
        <v>48</v>
      </c>
      <c r="K924" t="s">
        <v>45</v>
      </c>
      <c r="L924" t="s">
        <v>45</v>
      </c>
      <c r="M924" t="s">
        <v>61</v>
      </c>
      <c r="N924" s="15">
        <v>82.04</v>
      </c>
      <c r="O924" s="16">
        <v>13.2</v>
      </c>
      <c r="P924">
        <v>0</v>
      </c>
    </row>
    <row r="925" spans="1:16" x14ac:dyDescent="0.3">
      <c r="A925" t="s">
        <v>57</v>
      </c>
      <c r="B925" t="s">
        <v>21</v>
      </c>
      <c r="C925" t="s">
        <v>62</v>
      </c>
      <c r="D925" t="s">
        <v>12</v>
      </c>
      <c r="E925" t="s">
        <v>80</v>
      </c>
      <c r="F925" t="s">
        <v>13</v>
      </c>
      <c r="G925" s="15">
        <v>185.89</v>
      </c>
      <c r="H925" t="s">
        <v>26</v>
      </c>
      <c r="I925">
        <v>2</v>
      </c>
      <c r="J925" t="s">
        <v>47</v>
      </c>
      <c r="K925" t="s">
        <v>46</v>
      </c>
      <c r="L925" t="s">
        <v>46</v>
      </c>
      <c r="M925" t="s">
        <v>78</v>
      </c>
      <c r="N925" s="15">
        <v>162.72999999999999</v>
      </c>
      <c r="O925" s="16">
        <v>14.2</v>
      </c>
      <c r="P925">
        <v>0</v>
      </c>
    </row>
    <row r="926" spans="1:16" x14ac:dyDescent="0.3">
      <c r="A926" t="s">
        <v>57</v>
      </c>
      <c r="B926" t="s">
        <v>18</v>
      </c>
      <c r="C926" t="s">
        <v>18</v>
      </c>
      <c r="D926" t="s">
        <v>15</v>
      </c>
      <c r="E926" t="s">
        <v>76</v>
      </c>
      <c r="F926" t="s">
        <v>9</v>
      </c>
      <c r="G926" s="15">
        <v>122.56</v>
      </c>
      <c r="H926" t="s">
        <v>27</v>
      </c>
      <c r="I926">
        <v>3</v>
      </c>
      <c r="J926" t="s">
        <v>48</v>
      </c>
      <c r="K926" t="s">
        <v>45</v>
      </c>
      <c r="L926" t="s">
        <v>45</v>
      </c>
      <c r="M926" t="s">
        <v>68</v>
      </c>
      <c r="N926" s="15">
        <v>118.59</v>
      </c>
      <c r="O926" s="16">
        <v>3.3</v>
      </c>
      <c r="P926">
        <v>0</v>
      </c>
    </row>
    <row r="927" spans="1:16" x14ac:dyDescent="0.3">
      <c r="A927" t="s">
        <v>65</v>
      </c>
      <c r="B927" t="s">
        <v>21</v>
      </c>
      <c r="C927" t="s">
        <v>62</v>
      </c>
      <c r="D927" t="s">
        <v>8</v>
      </c>
      <c r="E927" t="s">
        <v>73</v>
      </c>
      <c r="F927" t="s">
        <v>9</v>
      </c>
      <c r="G927" s="15">
        <v>110.64</v>
      </c>
      <c r="H927" t="s">
        <v>25</v>
      </c>
      <c r="I927">
        <v>1</v>
      </c>
      <c r="J927" t="s">
        <v>44</v>
      </c>
      <c r="K927" t="s">
        <v>46</v>
      </c>
      <c r="L927" t="s">
        <v>46</v>
      </c>
      <c r="M927" t="s">
        <v>78</v>
      </c>
      <c r="N927" s="15">
        <v>88.05</v>
      </c>
      <c r="O927" s="16">
        <v>25.7</v>
      </c>
      <c r="P927">
        <v>1</v>
      </c>
    </row>
    <row r="928" spans="1:16" x14ac:dyDescent="0.3">
      <c r="A928" t="s">
        <v>65</v>
      </c>
      <c r="B928" t="s">
        <v>17</v>
      </c>
      <c r="C928" t="s">
        <v>17</v>
      </c>
      <c r="D928" t="s">
        <v>15</v>
      </c>
      <c r="E928" t="s">
        <v>75</v>
      </c>
      <c r="F928" t="s">
        <v>9</v>
      </c>
      <c r="G928" s="15">
        <v>135.9</v>
      </c>
      <c r="H928" t="s">
        <v>27</v>
      </c>
      <c r="I928">
        <v>3</v>
      </c>
      <c r="J928" t="s">
        <v>44</v>
      </c>
      <c r="K928" t="s">
        <v>45</v>
      </c>
      <c r="L928" t="s">
        <v>45</v>
      </c>
      <c r="M928" t="s">
        <v>64</v>
      </c>
      <c r="N928" s="15">
        <v>126.9</v>
      </c>
      <c r="O928" s="16">
        <v>7.1</v>
      </c>
      <c r="P928">
        <v>0</v>
      </c>
    </row>
    <row r="929" spans="1:16" x14ac:dyDescent="0.3">
      <c r="A929" t="s">
        <v>57</v>
      </c>
      <c r="B929" t="s">
        <v>21</v>
      </c>
      <c r="C929" t="s">
        <v>62</v>
      </c>
      <c r="D929" t="s">
        <v>12</v>
      </c>
      <c r="E929" t="s">
        <v>80</v>
      </c>
      <c r="F929" t="s">
        <v>13</v>
      </c>
      <c r="G929" s="15">
        <v>135.01</v>
      </c>
      <c r="H929" t="s">
        <v>26</v>
      </c>
      <c r="I929">
        <v>2</v>
      </c>
      <c r="J929" t="s">
        <v>48</v>
      </c>
      <c r="K929" t="s">
        <v>46</v>
      </c>
      <c r="L929" t="s">
        <v>45</v>
      </c>
      <c r="M929" t="s">
        <v>59</v>
      </c>
      <c r="N929" s="15">
        <v>162.72999999999999</v>
      </c>
      <c r="O929" s="16">
        <v>-17</v>
      </c>
      <c r="P929">
        <v>0</v>
      </c>
    </row>
    <row r="930" spans="1:16" x14ac:dyDescent="0.3">
      <c r="A930" t="s">
        <v>60</v>
      </c>
      <c r="B930" t="s">
        <v>21</v>
      </c>
      <c r="C930" t="s">
        <v>62</v>
      </c>
      <c r="D930" t="s">
        <v>8</v>
      </c>
      <c r="E930" t="s">
        <v>73</v>
      </c>
      <c r="F930" t="s">
        <v>9</v>
      </c>
      <c r="G930" s="15">
        <v>83.22</v>
      </c>
      <c r="H930" t="s">
        <v>26</v>
      </c>
      <c r="I930">
        <v>2</v>
      </c>
      <c r="J930" t="s">
        <v>48</v>
      </c>
      <c r="K930" t="s">
        <v>46</v>
      </c>
      <c r="L930" t="s">
        <v>45</v>
      </c>
      <c r="M930" t="s">
        <v>67</v>
      </c>
      <c r="N930" s="15">
        <v>82.04</v>
      </c>
      <c r="O930" s="16">
        <v>1.4</v>
      </c>
      <c r="P930">
        <v>0</v>
      </c>
    </row>
    <row r="931" spans="1:16" x14ac:dyDescent="0.3">
      <c r="A931" t="s">
        <v>65</v>
      </c>
      <c r="B931" t="s">
        <v>21</v>
      </c>
      <c r="C931" t="s">
        <v>62</v>
      </c>
      <c r="D931" t="s">
        <v>11</v>
      </c>
      <c r="E931" t="s">
        <v>79</v>
      </c>
      <c r="F931" t="s">
        <v>9</v>
      </c>
      <c r="G931" s="15">
        <v>38.74</v>
      </c>
      <c r="H931" t="s">
        <v>26</v>
      </c>
      <c r="I931">
        <v>2</v>
      </c>
      <c r="J931" t="s">
        <v>47</v>
      </c>
      <c r="K931" t="s">
        <v>45</v>
      </c>
      <c r="L931" t="s">
        <v>46</v>
      </c>
      <c r="M931" t="s">
        <v>78</v>
      </c>
      <c r="N931" s="15">
        <v>33.39</v>
      </c>
      <c r="O931" s="16">
        <v>16</v>
      </c>
      <c r="P931">
        <v>1</v>
      </c>
    </row>
    <row r="932" spans="1:16" x14ac:dyDescent="0.3">
      <c r="A932" t="s">
        <v>60</v>
      </c>
      <c r="B932" t="s">
        <v>17</v>
      </c>
      <c r="C932" t="s">
        <v>17</v>
      </c>
      <c r="D932" t="s">
        <v>14</v>
      </c>
      <c r="E932" t="s">
        <v>77</v>
      </c>
      <c r="F932" t="s">
        <v>9</v>
      </c>
      <c r="G932" s="15">
        <v>70.180000000000007</v>
      </c>
      <c r="H932" t="s">
        <v>26</v>
      </c>
      <c r="I932">
        <v>2</v>
      </c>
      <c r="J932" t="s">
        <v>48</v>
      </c>
      <c r="K932" t="s">
        <v>46</v>
      </c>
      <c r="L932" t="s">
        <v>45</v>
      </c>
      <c r="M932" t="s">
        <v>61</v>
      </c>
      <c r="N932" s="15">
        <v>67.13</v>
      </c>
      <c r="O932" s="16">
        <v>4.5</v>
      </c>
      <c r="P932">
        <v>0</v>
      </c>
    </row>
    <row r="933" spans="1:16" x14ac:dyDescent="0.3">
      <c r="A933" t="s">
        <v>60</v>
      </c>
      <c r="B933" t="s">
        <v>22</v>
      </c>
      <c r="C933" t="s">
        <v>22</v>
      </c>
      <c r="D933" t="s">
        <v>10</v>
      </c>
      <c r="E933" t="s">
        <v>58</v>
      </c>
      <c r="F933" t="s">
        <v>9</v>
      </c>
      <c r="G933" s="15">
        <v>200</v>
      </c>
      <c r="H933" t="s">
        <v>26</v>
      </c>
      <c r="I933">
        <v>2</v>
      </c>
      <c r="J933" t="s">
        <v>48</v>
      </c>
      <c r="K933" t="s">
        <v>45</v>
      </c>
      <c r="L933" t="s">
        <v>45</v>
      </c>
      <c r="M933" t="s">
        <v>64</v>
      </c>
      <c r="N933" s="15">
        <v>152.03</v>
      </c>
      <c r="O933" s="16">
        <v>31.6</v>
      </c>
      <c r="P933">
        <v>1</v>
      </c>
    </row>
    <row r="934" spans="1:16" x14ac:dyDescent="0.3">
      <c r="A934" t="s">
        <v>65</v>
      </c>
      <c r="B934" t="s">
        <v>18</v>
      </c>
      <c r="C934" t="s">
        <v>18</v>
      </c>
      <c r="D934" t="s">
        <v>14</v>
      </c>
      <c r="E934" t="s">
        <v>77</v>
      </c>
      <c r="F934" t="s">
        <v>9</v>
      </c>
      <c r="G934" s="15">
        <v>80</v>
      </c>
      <c r="H934" t="s">
        <v>25</v>
      </c>
      <c r="I934">
        <v>1</v>
      </c>
      <c r="J934" t="s">
        <v>47</v>
      </c>
      <c r="K934" t="s">
        <v>45</v>
      </c>
      <c r="L934" t="s">
        <v>46</v>
      </c>
      <c r="M934" t="s">
        <v>64</v>
      </c>
      <c r="N934" s="15">
        <v>70.66</v>
      </c>
      <c r="O934" s="16">
        <v>13.2</v>
      </c>
      <c r="P934">
        <v>0</v>
      </c>
    </row>
    <row r="935" spans="1:16" x14ac:dyDescent="0.3">
      <c r="A935" t="s">
        <v>57</v>
      </c>
      <c r="B935" t="s">
        <v>19</v>
      </c>
      <c r="C935" t="s">
        <v>19</v>
      </c>
      <c r="D935" t="s">
        <v>15</v>
      </c>
      <c r="E935" t="s">
        <v>76</v>
      </c>
      <c r="F935" t="s">
        <v>9</v>
      </c>
      <c r="G935" s="15">
        <v>138.24</v>
      </c>
      <c r="H935" t="s">
        <v>26</v>
      </c>
      <c r="I935">
        <v>2</v>
      </c>
      <c r="J935" t="s">
        <v>47</v>
      </c>
      <c r="K935" t="s">
        <v>45</v>
      </c>
      <c r="L935" t="s">
        <v>46</v>
      </c>
      <c r="M935" t="s">
        <v>67</v>
      </c>
      <c r="N935" s="15">
        <v>118.59</v>
      </c>
      <c r="O935" s="16">
        <v>16.600000000000001</v>
      </c>
      <c r="P935">
        <v>1</v>
      </c>
    </row>
    <row r="936" spans="1:16" x14ac:dyDescent="0.3">
      <c r="A936" t="s">
        <v>57</v>
      </c>
      <c r="B936" t="s">
        <v>19</v>
      </c>
      <c r="C936" t="s">
        <v>19</v>
      </c>
      <c r="D936" t="s">
        <v>8</v>
      </c>
      <c r="E936" t="s">
        <v>74</v>
      </c>
      <c r="F936" t="s">
        <v>9</v>
      </c>
      <c r="G936" s="15">
        <v>72.650000000000006</v>
      </c>
      <c r="H936" t="s">
        <v>26</v>
      </c>
      <c r="I936">
        <v>2</v>
      </c>
      <c r="J936" t="s">
        <v>48</v>
      </c>
      <c r="K936" t="s">
        <v>46</v>
      </c>
      <c r="L936" t="s">
        <v>45</v>
      </c>
      <c r="M936" t="s">
        <v>78</v>
      </c>
      <c r="N936" s="15">
        <v>83.41</v>
      </c>
      <c r="O936" s="16">
        <v>-12.9</v>
      </c>
      <c r="P936">
        <v>0</v>
      </c>
    </row>
    <row r="937" spans="1:16" x14ac:dyDescent="0.3">
      <c r="A937" t="s">
        <v>65</v>
      </c>
      <c r="B937" t="s">
        <v>21</v>
      </c>
      <c r="C937" t="s">
        <v>62</v>
      </c>
      <c r="D937" t="s">
        <v>10</v>
      </c>
      <c r="E937" t="s">
        <v>69</v>
      </c>
      <c r="F937" t="s">
        <v>9</v>
      </c>
      <c r="G937" s="15">
        <v>199.03</v>
      </c>
      <c r="H937" t="s">
        <v>25</v>
      </c>
      <c r="I937">
        <v>1</v>
      </c>
      <c r="J937" t="s">
        <v>47</v>
      </c>
      <c r="K937" t="s">
        <v>45</v>
      </c>
      <c r="L937" t="s">
        <v>45</v>
      </c>
      <c r="M937" t="s">
        <v>64</v>
      </c>
      <c r="N937" s="15">
        <v>158.91999999999999</v>
      </c>
      <c r="O937" s="16">
        <v>25.2</v>
      </c>
      <c r="P937">
        <v>1</v>
      </c>
    </row>
    <row r="938" spans="1:16" x14ac:dyDescent="0.3">
      <c r="A938" t="s">
        <v>60</v>
      </c>
      <c r="B938" t="s">
        <v>21</v>
      </c>
      <c r="C938" t="s">
        <v>62</v>
      </c>
      <c r="D938" t="s">
        <v>15</v>
      </c>
      <c r="E938" t="s">
        <v>76</v>
      </c>
      <c r="F938" t="s">
        <v>9</v>
      </c>
      <c r="G938" s="15">
        <v>122.7</v>
      </c>
      <c r="H938" t="s">
        <v>26</v>
      </c>
      <c r="I938">
        <v>2</v>
      </c>
      <c r="J938" t="s">
        <v>47</v>
      </c>
      <c r="K938" t="s">
        <v>45</v>
      </c>
      <c r="L938" t="s">
        <v>45</v>
      </c>
      <c r="M938" t="s">
        <v>64</v>
      </c>
      <c r="N938" s="15">
        <v>116.32</v>
      </c>
      <c r="O938" s="16">
        <v>5.5</v>
      </c>
      <c r="P938">
        <v>0</v>
      </c>
    </row>
    <row r="939" spans="1:16" x14ac:dyDescent="0.3">
      <c r="A939" t="s">
        <v>65</v>
      </c>
      <c r="B939" t="s">
        <v>21</v>
      </c>
      <c r="C939" t="s">
        <v>62</v>
      </c>
      <c r="D939" t="s">
        <v>11</v>
      </c>
      <c r="E939" t="s">
        <v>79</v>
      </c>
      <c r="F939" t="s">
        <v>9</v>
      </c>
      <c r="G939" s="15">
        <v>40</v>
      </c>
      <c r="H939" t="s">
        <v>25</v>
      </c>
      <c r="I939">
        <v>1</v>
      </c>
      <c r="J939" t="s">
        <v>44</v>
      </c>
      <c r="K939" t="s">
        <v>45</v>
      </c>
      <c r="L939" t="s">
        <v>46</v>
      </c>
      <c r="M939" t="s">
        <v>67</v>
      </c>
      <c r="N939" s="15">
        <v>33.39</v>
      </c>
      <c r="O939" s="16">
        <v>19.8</v>
      </c>
      <c r="P939">
        <v>1</v>
      </c>
    </row>
    <row r="940" spans="1:16" x14ac:dyDescent="0.3">
      <c r="A940" t="s">
        <v>65</v>
      </c>
      <c r="B940" t="s">
        <v>21</v>
      </c>
      <c r="C940" t="s">
        <v>62</v>
      </c>
      <c r="D940" t="s">
        <v>14</v>
      </c>
      <c r="E940" t="s">
        <v>77</v>
      </c>
      <c r="F940" t="s">
        <v>9</v>
      </c>
      <c r="G940" s="15">
        <v>68.19</v>
      </c>
      <c r="H940" t="s">
        <v>25</v>
      </c>
      <c r="I940">
        <v>1</v>
      </c>
      <c r="J940" t="s">
        <v>48</v>
      </c>
      <c r="K940" t="s">
        <v>46</v>
      </c>
      <c r="L940" t="s">
        <v>46</v>
      </c>
      <c r="M940" t="s">
        <v>64</v>
      </c>
      <c r="N940" s="15">
        <v>70.66</v>
      </c>
      <c r="O940" s="16">
        <v>-3.5</v>
      </c>
      <c r="P940">
        <v>0</v>
      </c>
    </row>
    <row r="941" spans="1:16" x14ac:dyDescent="0.3">
      <c r="A941" t="s">
        <v>65</v>
      </c>
      <c r="B941" t="s">
        <v>20</v>
      </c>
      <c r="C941" t="s">
        <v>20</v>
      </c>
      <c r="D941" t="s">
        <v>12</v>
      </c>
      <c r="E941" t="s">
        <v>66</v>
      </c>
      <c r="F941" t="s">
        <v>13</v>
      </c>
      <c r="G941" s="15">
        <v>200</v>
      </c>
      <c r="H941" t="s">
        <v>25</v>
      </c>
      <c r="I941">
        <v>1</v>
      </c>
      <c r="J941" t="s">
        <v>47</v>
      </c>
      <c r="K941" t="s">
        <v>45</v>
      </c>
      <c r="L941" t="s">
        <v>46</v>
      </c>
      <c r="M941" t="s">
        <v>72</v>
      </c>
      <c r="N941" s="15">
        <v>178.49</v>
      </c>
      <c r="O941" s="16">
        <v>12.1</v>
      </c>
      <c r="P941">
        <v>0</v>
      </c>
    </row>
    <row r="942" spans="1:16" x14ac:dyDescent="0.3">
      <c r="A942" t="s">
        <v>65</v>
      </c>
      <c r="B942" t="s">
        <v>17</v>
      </c>
      <c r="C942" t="s">
        <v>17</v>
      </c>
      <c r="D942" t="s">
        <v>11</v>
      </c>
      <c r="E942" t="s">
        <v>70</v>
      </c>
      <c r="F942" t="s">
        <v>9</v>
      </c>
      <c r="G942" s="15">
        <v>39.1</v>
      </c>
      <c r="H942" t="s">
        <v>26</v>
      </c>
      <c r="I942">
        <v>2</v>
      </c>
      <c r="J942" t="s">
        <v>47</v>
      </c>
      <c r="K942" t="s">
        <v>45</v>
      </c>
      <c r="L942" t="s">
        <v>46</v>
      </c>
      <c r="M942" t="s">
        <v>59</v>
      </c>
      <c r="N942" s="15">
        <v>32.630000000000003</v>
      </c>
      <c r="O942" s="16">
        <v>19.8</v>
      </c>
      <c r="P942">
        <v>1</v>
      </c>
    </row>
    <row r="943" spans="1:16" x14ac:dyDescent="0.3">
      <c r="A943" t="s">
        <v>57</v>
      </c>
      <c r="B943" t="s">
        <v>17</v>
      </c>
      <c r="C943" t="s">
        <v>17</v>
      </c>
      <c r="D943" t="s">
        <v>12</v>
      </c>
      <c r="E943" t="s">
        <v>80</v>
      </c>
      <c r="F943" t="s">
        <v>13</v>
      </c>
      <c r="G943" s="15">
        <v>133.36000000000001</v>
      </c>
      <c r="H943" t="s">
        <v>27</v>
      </c>
      <c r="I943">
        <v>3</v>
      </c>
      <c r="J943" t="s">
        <v>48</v>
      </c>
      <c r="K943" t="s">
        <v>46</v>
      </c>
      <c r="L943" t="s">
        <v>45</v>
      </c>
      <c r="M943" t="s">
        <v>61</v>
      </c>
      <c r="N943" s="15">
        <v>162.72999999999999</v>
      </c>
      <c r="O943" s="16">
        <v>-18</v>
      </c>
      <c r="P943">
        <v>0</v>
      </c>
    </row>
    <row r="944" spans="1:16" x14ac:dyDescent="0.3">
      <c r="A944" t="s">
        <v>65</v>
      </c>
      <c r="B944" t="s">
        <v>18</v>
      </c>
      <c r="C944" t="s">
        <v>18</v>
      </c>
      <c r="D944" t="s">
        <v>8</v>
      </c>
      <c r="E944" t="s">
        <v>73</v>
      </c>
      <c r="F944" t="s">
        <v>9</v>
      </c>
      <c r="G944" s="15">
        <v>85.57</v>
      </c>
      <c r="H944" t="s">
        <v>26</v>
      </c>
      <c r="I944">
        <v>2</v>
      </c>
      <c r="J944" t="s">
        <v>47</v>
      </c>
      <c r="K944" t="s">
        <v>45</v>
      </c>
      <c r="L944" t="s">
        <v>45</v>
      </c>
      <c r="M944" t="s">
        <v>72</v>
      </c>
      <c r="N944" s="15">
        <v>88.05</v>
      </c>
      <c r="O944" s="16">
        <v>-2.8</v>
      </c>
      <c r="P944">
        <v>0</v>
      </c>
    </row>
    <row r="945" spans="1:16" x14ac:dyDescent="0.3">
      <c r="A945" t="s">
        <v>57</v>
      </c>
      <c r="B945" t="s">
        <v>19</v>
      </c>
      <c r="C945" t="s">
        <v>19</v>
      </c>
      <c r="D945" t="s">
        <v>14</v>
      </c>
      <c r="E945" t="s">
        <v>71</v>
      </c>
      <c r="F945" t="s">
        <v>9</v>
      </c>
      <c r="G945" s="15">
        <v>59.39</v>
      </c>
      <c r="H945" t="s">
        <v>26</v>
      </c>
      <c r="I945">
        <v>2</v>
      </c>
      <c r="J945" t="s">
        <v>47</v>
      </c>
      <c r="K945" t="s">
        <v>46</v>
      </c>
      <c r="L945" t="s">
        <v>45</v>
      </c>
      <c r="M945" t="s">
        <v>59</v>
      </c>
      <c r="N945" s="15">
        <v>65.77</v>
      </c>
      <c r="O945" s="16">
        <v>-9.6999999999999993</v>
      </c>
      <c r="P945">
        <v>0</v>
      </c>
    </row>
    <row r="946" spans="1:16" x14ac:dyDescent="0.3">
      <c r="A946" t="s">
        <v>65</v>
      </c>
      <c r="B946" t="s">
        <v>22</v>
      </c>
      <c r="C946" t="s">
        <v>22</v>
      </c>
      <c r="D946" t="s">
        <v>14</v>
      </c>
      <c r="E946" t="s">
        <v>77</v>
      </c>
      <c r="F946" t="s">
        <v>9</v>
      </c>
      <c r="G946" s="15">
        <v>61.31</v>
      </c>
      <c r="H946" t="s">
        <v>27</v>
      </c>
      <c r="I946">
        <v>3</v>
      </c>
      <c r="J946" t="s">
        <v>48</v>
      </c>
      <c r="K946" t="s">
        <v>45</v>
      </c>
      <c r="L946" t="s">
        <v>45</v>
      </c>
      <c r="M946" t="s">
        <v>59</v>
      </c>
      <c r="N946" s="15">
        <v>70.66</v>
      </c>
      <c r="O946" s="16">
        <v>-13.2</v>
      </c>
      <c r="P946">
        <v>0</v>
      </c>
    </row>
    <row r="947" spans="1:16" x14ac:dyDescent="0.3">
      <c r="A947" t="s">
        <v>57</v>
      </c>
      <c r="B947" t="s">
        <v>20</v>
      </c>
      <c r="C947" t="s">
        <v>20</v>
      </c>
      <c r="D947" t="s">
        <v>11</v>
      </c>
      <c r="E947" t="s">
        <v>79</v>
      </c>
      <c r="F947" t="s">
        <v>9</v>
      </c>
      <c r="G947" s="15">
        <v>33.729999999999997</v>
      </c>
      <c r="H947" t="s">
        <v>25</v>
      </c>
      <c r="I947">
        <v>1</v>
      </c>
      <c r="J947" t="s">
        <v>48</v>
      </c>
      <c r="K947" t="s">
        <v>46</v>
      </c>
      <c r="L947" t="s">
        <v>45</v>
      </c>
      <c r="M947" t="s">
        <v>68</v>
      </c>
      <c r="N947" s="15">
        <v>30.93</v>
      </c>
      <c r="O947" s="16">
        <v>9.1</v>
      </c>
      <c r="P947">
        <v>0</v>
      </c>
    </row>
    <row r="948" spans="1:16" x14ac:dyDescent="0.3">
      <c r="A948" t="s">
        <v>57</v>
      </c>
      <c r="B948" t="s">
        <v>19</v>
      </c>
      <c r="C948" t="s">
        <v>19</v>
      </c>
      <c r="D948" t="s">
        <v>14</v>
      </c>
      <c r="E948" t="s">
        <v>71</v>
      </c>
      <c r="F948" t="s">
        <v>9</v>
      </c>
      <c r="G948" s="15">
        <v>70.67</v>
      </c>
      <c r="H948" t="s">
        <v>26</v>
      </c>
      <c r="I948">
        <v>2</v>
      </c>
      <c r="J948" t="s">
        <v>48</v>
      </c>
      <c r="K948" t="s">
        <v>45</v>
      </c>
      <c r="L948" t="s">
        <v>45</v>
      </c>
      <c r="M948" t="s">
        <v>59</v>
      </c>
      <c r="N948" s="15">
        <v>65.77</v>
      </c>
      <c r="O948" s="16">
        <v>7.5</v>
      </c>
      <c r="P948">
        <v>0</v>
      </c>
    </row>
    <row r="949" spans="1:16" x14ac:dyDescent="0.3">
      <c r="A949" t="s">
        <v>60</v>
      </c>
      <c r="B949" t="s">
        <v>20</v>
      </c>
      <c r="C949" t="s">
        <v>20</v>
      </c>
      <c r="D949" t="s">
        <v>14</v>
      </c>
      <c r="E949" t="s">
        <v>77</v>
      </c>
      <c r="F949" t="s">
        <v>9</v>
      </c>
      <c r="G949" s="15">
        <v>62.46</v>
      </c>
      <c r="H949" t="s">
        <v>27</v>
      </c>
      <c r="I949">
        <v>3</v>
      </c>
      <c r="J949" t="s">
        <v>48</v>
      </c>
      <c r="K949" t="s">
        <v>46</v>
      </c>
      <c r="L949" t="s">
        <v>45</v>
      </c>
      <c r="M949" t="s">
        <v>72</v>
      </c>
      <c r="N949" s="15">
        <v>67.13</v>
      </c>
      <c r="O949" s="16">
        <v>-7</v>
      </c>
      <c r="P949">
        <v>0</v>
      </c>
    </row>
    <row r="950" spans="1:16" x14ac:dyDescent="0.3">
      <c r="A950" t="s">
        <v>65</v>
      </c>
      <c r="B950" t="s">
        <v>20</v>
      </c>
      <c r="C950" t="s">
        <v>20</v>
      </c>
      <c r="D950" t="s">
        <v>8</v>
      </c>
      <c r="E950" t="s">
        <v>74</v>
      </c>
      <c r="F950" t="s">
        <v>9</v>
      </c>
      <c r="G950" s="15">
        <v>92.82</v>
      </c>
      <c r="H950" t="s">
        <v>27</v>
      </c>
      <c r="I950">
        <v>3</v>
      </c>
      <c r="J950" t="s">
        <v>48</v>
      </c>
      <c r="K950" t="s">
        <v>45</v>
      </c>
      <c r="L950" t="s">
        <v>45</v>
      </c>
      <c r="M950" t="s">
        <v>61</v>
      </c>
      <c r="N950" s="15">
        <v>91.13</v>
      </c>
      <c r="O950" s="16">
        <v>1.9</v>
      </c>
      <c r="P950">
        <v>0</v>
      </c>
    </row>
    <row r="951" spans="1:16" x14ac:dyDescent="0.3">
      <c r="A951" t="s">
        <v>65</v>
      </c>
      <c r="B951" t="s">
        <v>18</v>
      </c>
      <c r="C951" t="s">
        <v>18</v>
      </c>
      <c r="D951" t="s">
        <v>14</v>
      </c>
      <c r="E951" t="s">
        <v>63</v>
      </c>
      <c r="F951" t="s">
        <v>9</v>
      </c>
      <c r="G951" s="15">
        <v>71.02</v>
      </c>
      <c r="H951" t="s">
        <v>25</v>
      </c>
      <c r="I951">
        <v>1</v>
      </c>
      <c r="J951" t="s">
        <v>47</v>
      </c>
      <c r="K951" t="s">
        <v>46</v>
      </c>
      <c r="L951" t="s">
        <v>45</v>
      </c>
      <c r="M951" t="s">
        <v>67</v>
      </c>
      <c r="N951" s="15">
        <v>68.150000000000006</v>
      </c>
      <c r="O951" s="16">
        <v>4.2</v>
      </c>
      <c r="P951">
        <v>0</v>
      </c>
    </row>
    <row r="952" spans="1:16" x14ac:dyDescent="0.3">
      <c r="A952" t="s">
        <v>57</v>
      </c>
      <c r="B952" t="s">
        <v>17</v>
      </c>
      <c r="C952" t="s">
        <v>17</v>
      </c>
      <c r="D952" t="s">
        <v>14</v>
      </c>
      <c r="E952" t="s">
        <v>77</v>
      </c>
      <c r="F952" t="s">
        <v>9</v>
      </c>
      <c r="G952" s="15">
        <v>72.14</v>
      </c>
      <c r="H952" t="s">
        <v>25</v>
      </c>
      <c r="I952">
        <v>1</v>
      </c>
      <c r="J952" t="s">
        <v>47</v>
      </c>
      <c r="K952" t="s">
        <v>46</v>
      </c>
      <c r="L952" t="s">
        <v>46</v>
      </c>
      <c r="M952" t="s">
        <v>61</v>
      </c>
      <c r="N952" s="15">
        <v>65.97</v>
      </c>
      <c r="O952" s="16">
        <v>9.4</v>
      </c>
      <c r="P952">
        <v>0</v>
      </c>
    </row>
    <row r="953" spans="1:16" x14ac:dyDescent="0.3">
      <c r="A953" t="s">
        <v>57</v>
      </c>
      <c r="B953" t="s">
        <v>20</v>
      </c>
      <c r="C953" t="s">
        <v>20</v>
      </c>
      <c r="D953" t="s">
        <v>14</v>
      </c>
      <c r="E953" t="s">
        <v>77</v>
      </c>
      <c r="F953" t="s">
        <v>9</v>
      </c>
      <c r="G953" s="15">
        <v>61.25</v>
      </c>
      <c r="H953" t="s">
        <v>26</v>
      </c>
      <c r="I953">
        <v>2</v>
      </c>
      <c r="J953" t="s">
        <v>48</v>
      </c>
      <c r="K953" t="s">
        <v>46</v>
      </c>
      <c r="L953" t="s">
        <v>45</v>
      </c>
      <c r="M953" t="s">
        <v>59</v>
      </c>
      <c r="N953" s="15">
        <v>65.97</v>
      </c>
      <c r="O953" s="16">
        <v>-7.2</v>
      </c>
      <c r="P953">
        <v>0</v>
      </c>
    </row>
    <row r="954" spans="1:16" x14ac:dyDescent="0.3">
      <c r="A954" t="s">
        <v>65</v>
      </c>
      <c r="B954" t="s">
        <v>18</v>
      </c>
      <c r="C954" t="s">
        <v>18</v>
      </c>
      <c r="D954" t="s">
        <v>11</v>
      </c>
      <c r="E954" t="s">
        <v>70</v>
      </c>
      <c r="F954" t="s">
        <v>9</v>
      </c>
      <c r="G954" s="15">
        <v>31.27</v>
      </c>
      <c r="H954" t="s">
        <v>27</v>
      </c>
      <c r="I954">
        <v>3</v>
      </c>
      <c r="J954" t="s">
        <v>47</v>
      </c>
      <c r="K954" t="s">
        <v>45</v>
      </c>
      <c r="L954" t="s">
        <v>45</v>
      </c>
      <c r="M954" t="s">
        <v>78</v>
      </c>
      <c r="N954" s="15">
        <v>32.630000000000003</v>
      </c>
      <c r="O954" s="16">
        <v>-4.2</v>
      </c>
      <c r="P954">
        <v>0</v>
      </c>
    </row>
    <row r="955" spans="1:16" x14ac:dyDescent="0.3">
      <c r="A955" t="s">
        <v>57</v>
      </c>
      <c r="B955" t="s">
        <v>19</v>
      </c>
      <c r="C955" t="s">
        <v>19</v>
      </c>
      <c r="D955" t="s">
        <v>15</v>
      </c>
      <c r="E955" t="s">
        <v>75</v>
      </c>
      <c r="F955" t="s">
        <v>9</v>
      </c>
      <c r="G955" s="15">
        <v>133.69</v>
      </c>
      <c r="H955" t="s">
        <v>25</v>
      </c>
      <c r="I955">
        <v>1</v>
      </c>
      <c r="J955" t="s">
        <v>48</v>
      </c>
      <c r="K955" t="s">
        <v>45</v>
      </c>
      <c r="L955" t="s">
        <v>45</v>
      </c>
      <c r="M955" t="s">
        <v>61</v>
      </c>
      <c r="N955" s="15">
        <v>120.06</v>
      </c>
      <c r="O955" s="16">
        <v>11.4</v>
      </c>
      <c r="P955">
        <v>0</v>
      </c>
    </row>
    <row r="956" spans="1:16" x14ac:dyDescent="0.3">
      <c r="A956" t="s">
        <v>60</v>
      </c>
      <c r="B956" t="s">
        <v>20</v>
      </c>
      <c r="C956" t="s">
        <v>20</v>
      </c>
      <c r="D956" t="s">
        <v>15</v>
      </c>
      <c r="E956" t="s">
        <v>75</v>
      </c>
      <c r="F956" t="s">
        <v>9</v>
      </c>
      <c r="G956" s="15">
        <v>140</v>
      </c>
      <c r="H956" t="s">
        <v>26</v>
      </c>
      <c r="I956">
        <v>2</v>
      </c>
      <c r="J956" t="s">
        <v>47</v>
      </c>
      <c r="K956" t="s">
        <v>45</v>
      </c>
      <c r="L956" t="s">
        <v>46</v>
      </c>
      <c r="M956" t="s">
        <v>61</v>
      </c>
      <c r="N956" s="15">
        <v>119</v>
      </c>
      <c r="O956" s="16">
        <v>17.600000000000001</v>
      </c>
      <c r="P956">
        <v>1</v>
      </c>
    </row>
    <row r="957" spans="1:16" x14ac:dyDescent="0.3">
      <c r="A957" t="s">
        <v>60</v>
      </c>
      <c r="B957" t="s">
        <v>18</v>
      </c>
      <c r="C957" t="s">
        <v>18</v>
      </c>
      <c r="D957" t="s">
        <v>8</v>
      </c>
      <c r="E957" t="s">
        <v>73</v>
      </c>
      <c r="F957" t="s">
        <v>9</v>
      </c>
      <c r="G957" s="15">
        <v>97.65</v>
      </c>
      <c r="H957" t="s">
        <v>27</v>
      </c>
      <c r="I957">
        <v>3</v>
      </c>
      <c r="J957" t="s">
        <v>48</v>
      </c>
      <c r="K957" t="s">
        <v>45</v>
      </c>
      <c r="L957" t="s">
        <v>46</v>
      </c>
      <c r="M957" t="s">
        <v>61</v>
      </c>
      <c r="N957" s="15">
        <v>82.04</v>
      </c>
      <c r="O957" s="16">
        <v>19</v>
      </c>
      <c r="P957">
        <v>1</v>
      </c>
    </row>
    <row r="958" spans="1:16" x14ac:dyDescent="0.3">
      <c r="A958" t="s">
        <v>57</v>
      </c>
      <c r="B958" t="s">
        <v>19</v>
      </c>
      <c r="C958" t="s">
        <v>19</v>
      </c>
      <c r="D958" t="s">
        <v>10</v>
      </c>
      <c r="E958" t="s">
        <v>69</v>
      </c>
      <c r="F958" t="s">
        <v>9</v>
      </c>
      <c r="G958" s="15">
        <v>151.41999999999999</v>
      </c>
      <c r="H958" t="s">
        <v>26</v>
      </c>
      <c r="I958">
        <v>2</v>
      </c>
      <c r="J958" t="s">
        <v>48</v>
      </c>
      <c r="K958" t="s">
        <v>45</v>
      </c>
      <c r="L958" t="s">
        <v>45</v>
      </c>
      <c r="M958" t="s">
        <v>59</v>
      </c>
      <c r="N958" s="15">
        <v>150.38999999999999</v>
      </c>
      <c r="O958" s="16">
        <v>0.7</v>
      </c>
      <c r="P958">
        <v>0</v>
      </c>
    </row>
    <row r="959" spans="1:16" x14ac:dyDescent="0.3">
      <c r="A959" t="s">
        <v>65</v>
      </c>
      <c r="B959" t="s">
        <v>17</v>
      </c>
      <c r="C959" t="s">
        <v>17</v>
      </c>
      <c r="D959" t="s">
        <v>11</v>
      </c>
      <c r="E959" t="s">
        <v>70</v>
      </c>
      <c r="F959" t="s">
        <v>9</v>
      </c>
      <c r="G959" s="15">
        <v>34.43</v>
      </c>
      <c r="H959" t="s">
        <v>25</v>
      </c>
      <c r="I959">
        <v>1</v>
      </c>
      <c r="J959" t="s">
        <v>48</v>
      </c>
      <c r="K959" t="s">
        <v>45</v>
      </c>
      <c r="L959" t="s">
        <v>45</v>
      </c>
      <c r="M959" t="s">
        <v>72</v>
      </c>
      <c r="N959" s="15">
        <v>32.630000000000003</v>
      </c>
      <c r="O959" s="16">
        <v>5.5</v>
      </c>
      <c r="P959">
        <v>0</v>
      </c>
    </row>
    <row r="960" spans="1:16" x14ac:dyDescent="0.3">
      <c r="A960" t="s">
        <v>57</v>
      </c>
      <c r="B960" t="s">
        <v>17</v>
      </c>
      <c r="C960" t="s">
        <v>17</v>
      </c>
      <c r="D960" t="s">
        <v>14</v>
      </c>
      <c r="E960" t="s">
        <v>71</v>
      </c>
      <c r="F960" t="s">
        <v>9</v>
      </c>
      <c r="G960" s="15">
        <v>64.06</v>
      </c>
      <c r="H960" t="s">
        <v>27</v>
      </c>
      <c r="I960">
        <v>3</v>
      </c>
      <c r="J960" t="s">
        <v>48</v>
      </c>
      <c r="K960" t="s">
        <v>46</v>
      </c>
      <c r="L960" t="s">
        <v>45</v>
      </c>
      <c r="M960" t="s">
        <v>64</v>
      </c>
      <c r="N960" s="15">
        <v>65.77</v>
      </c>
      <c r="O960" s="16">
        <v>-2.6</v>
      </c>
      <c r="P960">
        <v>0</v>
      </c>
    </row>
    <row r="961" spans="1:16" x14ac:dyDescent="0.3">
      <c r="A961" t="s">
        <v>60</v>
      </c>
      <c r="B961" t="s">
        <v>17</v>
      </c>
      <c r="C961" t="s">
        <v>17</v>
      </c>
      <c r="D961" t="s">
        <v>8</v>
      </c>
      <c r="E961" t="s">
        <v>73</v>
      </c>
      <c r="F961" t="s">
        <v>9</v>
      </c>
      <c r="G961" s="15">
        <v>74.150000000000006</v>
      </c>
      <c r="H961" t="s">
        <v>26</v>
      </c>
      <c r="I961">
        <v>2</v>
      </c>
      <c r="J961" t="s">
        <v>48</v>
      </c>
      <c r="K961" t="s">
        <v>46</v>
      </c>
      <c r="L961" t="s">
        <v>46</v>
      </c>
      <c r="M961" t="s">
        <v>72</v>
      </c>
      <c r="N961" s="15">
        <v>82.04</v>
      </c>
      <c r="O961" s="16">
        <v>-9.6</v>
      </c>
      <c r="P961">
        <v>0</v>
      </c>
    </row>
    <row r="962" spans="1:16" x14ac:dyDescent="0.3">
      <c r="A962" t="s">
        <v>60</v>
      </c>
      <c r="B962" t="s">
        <v>17</v>
      </c>
      <c r="C962" t="s">
        <v>17</v>
      </c>
      <c r="D962" t="s">
        <v>12</v>
      </c>
      <c r="E962" t="s">
        <v>66</v>
      </c>
      <c r="F962" t="s">
        <v>13</v>
      </c>
      <c r="G962" s="15">
        <v>175.72</v>
      </c>
      <c r="H962" t="s">
        <v>25</v>
      </c>
      <c r="I962">
        <v>1</v>
      </c>
      <c r="J962" t="s">
        <v>48</v>
      </c>
      <c r="K962" t="s">
        <v>45</v>
      </c>
      <c r="L962" t="s">
        <v>45</v>
      </c>
      <c r="M962" t="s">
        <v>72</v>
      </c>
      <c r="N962" s="15">
        <v>168.34</v>
      </c>
      <c r="O962" s="16">
        <v>4.4000000000000004</v>
      </c>
      <c r="P962">
        <v>0</v>
      </c>
    </row>
    <row r="963" spans="1:16" x14ac:dyDescent="0.3">
      <c r="A963" t="s">
        <v>57</v>
      </c>
      <c r="B963" t="s">
        <v>19</v>
      </c>
      <c r="C963" t="s">
        <v>19</v>
      </c>
      <c r="D963" t="s">
        <v>8</v>
      </c>
      <c r="E963" t="s">
        <v>73</v>
      </c>
      <c r="F963" t="s">
        <v>9</v>
      </c>
      <c r="G963" s="15">
        <v>73.239999999999995</v>
      </c>
      <c r="H963" t="s">
        <v>25</v>
      </c>
      <c r="I963">
        <v>1</v>
      </c>
      <c r="J963" t="s">
        <v>48</v>
      </c>
      <c r="K963" t="s">
        <v>46</v>
      </c>
      <c r="L963" t="s">
        <v>45</v>
      </c>
      <c r="M963" t="s">
        <v>78</v>
      </c>
      <c r="N963" s="15">
        <v>86.06</v>
      </c>
      <c r="O963" s="16">
        <v>-14.9</v>
      </c>
      <c r="P963">
        <v>0</v>
      </c>
    </row>
    <row r="964" spans="1:16" x14ac:dyDescent="0.3">
      <c r="A964" t="s">
        <v>65</v>
      </c>
      <c r="B964" t="s">
        <v>19</v>
      </c>
      <c r="C964" t="s">
        <v>19</v>
      </c>
      <c r="D964" t="s">
        <v>15</v>
      </c>
      <c r="E964" t="s">
        <v>75</v>
      </c>
      <c r="F964" t="s">
        <v>9</v>
      </c>
      <c r="G964" s="15">
        <v>133.78</v>
      </c>
      <c r="H964" t="s">
        <v>26</v>
      </c>
      <c r="I964">
        <v>2</v>
      </c>
      <c r="J964" t="s">
        <v>47</v>
      </c>
      <c r="K964" t="s">
        <v>45</v>
      </c>
      <c r="L964" t="s">
        <v>45</v>
      </c>
      <c r="M964" t="s">
        <v>67</v>
      </c>
      <c r="N964" s="15">
        <v>126.9</v>
      </c>
      <c r="O964" s="16">
        <v>5.4</v>
      </c>
      <c r="P964">
        <v>0</v>
      </c>
    </row>
    <row r="965" spans="1:16" x14ac:dyDescent="0.3">
      <c r="A965" t="s">
        <v>57</v>
      </c>
      <c r="B965" t="s">
        <v>17</v>
      </c>
      <c r="C965" t="s">
        <v>17</v>
      </c>
      <c r="D965" t="s">
        <v>12</v>
      </c>
      <c r="E965" t="s">
        <v>80</v>
      </c>
      <c r="F965" t="s">
        <v>13</v>
      </c>
      <c r="G965" s="15">
        <v>186.78</v>
      </c>
      <c r="H965" t="s">
        <v>26</v>
      </c>
      <c r="I965">
        <v>2</v>
      </c>
      <c r="J965" t="s">
        <v>48</v>
      </c>
      <c r="K965" t="s">
        <v>45</v>
      </c>
      <c r="L965" t="s">
        <v>46</v>
      </c>
      <c r="M965" t="s">
        <v>68</v>
      </c>
      <c r="N965" s="15">
        <v>162.72999999999999</v>
      </c>
      <c r="O965" s="16">
        <v>14.8</v>
      </c>
      <c r="P965">
        <v>0</v>
      </c>
    </row>
    <row r="966" spans="1:16" x14ac:dyDescent="0.3">
      <c r="A966" t="s">
        <v>57</v>
      </c>
      <c r="B966" t="s">
        <v>19</v>
      </c>
      <c r="C966" t="s">
        <v>19</v>
      </c>
      <c r="D966" t="s">
        <v>8</v>
      </c>
      <c r="E966" t="s">
        <v>73</v>
      </c>
      <c r="F966" t="s">
        <v>9</v>
      </c>
      <c r="G966" s="15">
        <v>94.2</v>
      </c>
      <c r="H966" t="s">
        <v>25</v>
      </c>
      <c r="I966">
        <v>1</v>
      </c>
      <c r="J966" t="s">
        <v>48</v>
      </c>
      <c r="K966" t="s">
        <v>45</v>
      </c>
      <c r="L966" t="s">
        <v>46</v>
      </c>
      <c r="M966" t="s">
        <v>64</v>
      </c>
      <c r="N966" s="15">
        <v>86.06</v>
      </c>
      <c r="O966" s="16">
        <v>9.5</v>
      </c>
      <c r="P966">
        <v>0</v>
      </c>
    </row>
    <row r="967" spans="1:16" x14ac:dyDescent="0.3">
      <c r="A967" t="s">
        <v>57</v>
      </c>
      <c r="B967" t="s">
        <v>21</v>
      </c>
      <c r="C967" t="s">
        <v>62</v>
      </c>
      <c r="D967" t="s">
        <v>10</v>
      </c>
      <c r="E967" t="s">
        <v>58</v>
      </c>
      <c r="F967" t="s">
        <v>9</v>
      </c>
      <c r="G967" s="15">
        <v>166.61</v>
      </c>
      <c r="H967" t="s">
        <v>26</v>
      </c>
      <c r="I967">
        <v>2</v>
      </c>
      <c r="J967" t="s">
        <v>48</v>
      </c>
      <c r="K967" t="s">
        <v>45</v>
      </c>
      <c r="L967" t="s">
        <v>45</v>
      </c>
      <c r="M967" t="s">
        <v>68</v>
      </c>
      <c r="N967" s="15">
        <v>151.19</v>
      </c>
      <c r="O967" s="16">
        <v>10.199999999999999</v>
      </c>
      <c r="P967">
        <v>0</v>
      </c>
    </row>
    <row r="968" spans="1:16" x14ac:dyDescent="0.3">
      <c r="A968" t="s">
        <v>65</v>
      </c>
      <c r="B968" t="s">
        <v>20</v>
      </c>
      <c r="C968" t="s">
        <v>20</v>
      </c>
      <c r="D968" t="s">
        <v>12</v>
      </c>
      <c r="E968" t="s">
        <v>80</v>
      </c>
      <c r="F968" t="s">
        <v>13</v>
      </c>
      <c r="G968" s="15">
        <v>183.37</v>
      </c>
      <c r="H968" t="s">
        <v>26</v>
      </c>
      <c r="I968">
        <v>2</v>
      </c>
      <c r="J968" t="s">
        <v>48</v>
      </c>
      <c r="K968" t="s">
        <v>45</v>
      </c>
      <c r="L968" t="s">
        <v>45</v>
      </c>
      <c r="M968" t="s">
        <v>78</v>
      </c>
      <c r="N968" s="15">
        <v>176.57</v>
      </c>
      <c r="O968" s="16">
        <v>3.9</v>
      </c>
      <c r="P968">
        <v>0</v>
      </c>
    </row>
    <row r="969" spans="1:16" x14ac:dyDescent="0.3">
      <c r="A969" t="s">
        <v>65</v>
      </c>
      <c r="B969" t="s">
        <v>21</v>
      </c>
      <c r="C969" t="s">
        <v>62</v>
      </c>
      <c r="D969" t="s">
        <v>11</v>
      </c>
      <c r="E969" t="s">
        <v>79</v>
      </c>
      <c r="F969" t="s">
        <v>9</v>
      </c>
      <c r="G969" s="15">
        <v>31.06</v>
      </c>
      <c r="H969" t="s">
        <v>26</v>
      </c>
      <c r="I969">
        <v>2</v>
      </c>
      <c r="J969" t="s">
        <v>47</v>
      </c>
      <c r="K969" t="s">
        <v>46</v>
      </c>
      <c r="L969" t="s">
        <v>45</v>
      </c>
      <c r="M969" t="s">
        <v>59</v>
      </c>
      <c r="N969" s="15">
        <v>33.39</v>
      </c>
      <c r="O969" s="16">
        <v>-7</v>
      </c>
      <c r="P969">
        <v>0</v>
      </c>
    </row>
    <row r="970" spans="1:16" x14ac:dyDescent="0.3">
      <c r="A970" t="s">
        <v>57</v>
      </c>
      <c r="B970" t="s">
        <v>22</v>
      </c>
      <c r="C970" t="s">
        <v>22</v>
      </c>
      <c r="D970" t="s">
        <v>12</v>
      </c>
      <c r="E970" t="s">
        <v>80</v>
      </c>
      <c r="F970" t="s">
        <v>13</v>
      </c>
      <c r="G970" s="15">
        <v>200</v>
      </c>
      <c r="H970" t="s">
        <v>25</v>
      </c>
      <c r="I970">
        <v>1</v>
      </c>
      <c r="J970" t="s">
        <v>47</v>
      </c>
      <c r="K970" t="s">
        <v>45</v>
      </c>
      <c r="L970" t="s">
        <v>46</v>
      </c>
      <c r="M970" t="s">
        <v>61</v>
      </c>
      <c r="N970" s="15">
        <v>162.72999999999999</v>
      </c>
      <c r="O970" s="16">
        <v>22.9</v>
      </c>
      <c r="P970">
        <v>1</v>
      </c>
    </row>
    <row r="971" spans="1:16" x14ac:dyDescent="0.3">
      <c r="A971" t="s">
        <v>65</v>
      </c>
      <c r="B971" t="s">
        <v>18</v>
      </c>
      <c r="C971" t="s">
        <v>18</v>
      </c>
      <c r="D971" t="s">
        <v>8</v>
      </c>
      <c r="E971" t="s">
        <v>73</v>
      </c>
      <c r="F971" t="s">
        <v>9</v>
      </c>
      <c r="G971" s="15">
        <v>114.98</v>
      </c>
      <c r="H971" t="s">
        <v>25</v>
      </c>
      <c r="I971">
        <v>1</v>
      </c>
      <c r="J971" t="s">
        <v>48</v>
      </c>
      <c r="K971" t="s">
        <v>45</v>
      </c>
      <c r="L971" t="s">
        <v>45</v>
      </c>
      <c r="M971" t="s">
        <v>72</v>
      </c>
      <c r="N971" s="15">
        <v>88.05</v>
      </c>
      <c r="O971" s="16">
        <v>30.6</v>
      </c>
      <c r="P971">
        <v>1</v>
      </c>
    </row>
    <row r="972" spans="1:16" x14ac:dyDescent="0.3">
      <c r="A972" t="s">
        <v>65</v>
      </c>
      <c r="B972" t="s">
        <v>22</v>
      </c>
      <c r="C972" t="s">
        <v>22</v>
      </c>
      <c r="D972" t="s">
        <v>11</v>
      </c>
      <c r="E972" t="s">
        <v>70</v>
      </c>
      <c r="F972" t="s">
        <v>9</v>
      </c>
      <c r="G972" s="15">
        <v>34.06</v>
      </c>
      <c r="H972" t="s">
        <v>26</v>
      </c>
      <c r="I972">
        <v>2</v>
      </c>
      <c r="J972" t="s">
        <v>47</v>
      </c>
      <c r="K972" t="s">
        <v>45</v>
      </c>
      <c r="L972" t="s">
        <v>45</v>
      </c>
      <c r="M972" t="s">
        <v>61</v>
      </c>
      <c r="N972" s="15">
        <v>32.630000000000003</v>
      </c>
      <c r="O972" s="16">
        <v>4.4000000000000004</v>
      </c>
      <c r="P972">
        <v>0</v>
      </c>
    </row>
    <row r="973" spans="1:16" x14ac:dyDescent="0.3">
      <c r="A973" t="s">
        <v>60</v>
      </c>
      <c r="B973" t="s">
        <v>17</v>
      </c>
      <c r="C973" t="s">
        <v>17</v>
      </c>
      <c r="D973" t="s">
        <v>14</v>
      </c>
      <c r="E973" t="s">
        <v>77</v>
      </c>
      <c r="F973" t="s">
        <v>9</v>
      </c>
      <c r="G973" s="15">
        <v>66.92</v>
      </c>
      <c r="H973" t="s">
        <v>26</v>
      </c>
      <c r="I973">
        <v>2</v>
      </c>
      <c r="J973" t="s">
        <v>48</v>
      </c>
      <c r="K973" t="s">
        <v>46</v>
      </c>
      <c r="L973" t="s">
        <v>45</v>
      </c>
      <c r="M973" t="s">
        <v>68</v>
      </c>
      <c r="N973" s="15">
        <v>67.13</v>
      </c>
      <c r="O973" s="16">
        <v>-0.3</v>
      </c>
      <c r="P973">
        <v>0</v>
      </c>
    </row>
    <row r="974" spans="1:16" x14ac:dyDescent="0.3">
      <c r="A974" t="s">
        <v>57</v>
      </c>
      <c r="B974" t="s">
        <v>21</v>
      </c>
      <c r="C974" t="s">
        <v>62</v>
      </c>
      <c r="D974" t="s">
        <v>10</v>
      </c>
      <c r="E974" t="s">
        <v>58</v>
      </c>
      <c r="F974" t="s">
        <v>9</v>
      </c>
      <c r="G974" s="15">
        <v>147.4</v>
      </c>
      <c r="H974" t="s">
        <v>27</v>
      </c>
      <c r="I974">
        <v>3</v>
      </c>
      <c r="J974" t="s">
        <v>48</v>
      </c>
      <c r="K974" t="s">
        <v>45</v>
      </c>
      <c r="L974" t="s">
        <v>45</v>
      </c>
      <c r="M974" t="s">
        <v>78</v>
      </c>
      <c r="N974" s="15">
        <v>151.19</v>
      </c>
      <c r="O974" s="16">
        <v>-2.5</v>
      </c>
      <c r="P974">
        <v>0</v>
      </c>
    </row>
    <row r="975" spans="1:16" x14ac:dyDescent="0.3">
      <c r="A975" t="s">
        <v>57</v>
      </c>
      <c r="B975" t="s">
        <v>20</v>
      </c>
      <c r="C975" t="s">
        <v>20</v>
      </c>
      <c r="D975" t="s">
        <v>14</v>
      </c>
      <c r="E975" t="s">
        <v>71</v>
      </c>
      <c r="F975" t="s">
        <v>9</v>
      </c>
      <c r="G975" s="15">
        <v>65.77</v>
      </c>
      <c r="H975" t="s">
        <v>27</v>
      </c>
      <c r="I975">
        <v>3</v>
      </c>
      <c r="J975" t="s">
        <v>48</v>
      </c>
      <c r="K975" t="s">
        <v>46</v>
      </c>
      <c r="L975" t="s">
        <v>45</v>
      </c>
      <c r="M975" t="s">
        <v>64</v>
      </c>
      <c r="N975" s="15">
        <v>65.77</v>
      </c>
      <c r="O975" s="16">
        <v>0</v>
      </c>
      <c r="P975">
        <v>0</v>
      </c>
    </row>
    <row r="976" spans="1:16" x14ac:dyDescent="0.3">
      <c r="A976" t="s">
        <v>65</v>
      </c>
      <c r="B976" t="s">
        <v>22</v>
      </c>
      <c r="C976" t="s">
        <v>22</v>
      </c>
      <c r="D976" t="s">
        <v>10</v>
      </c>
      <c r="E976" t="s">
        <v>58</v>
      </c>
      <c r="F976" t="s">
        <v>9</v>
      </c>
      <c r="G976" s="15">
        <v>132.29</v>
      </c>
      <c r="H976" t="s">
        <v>26</v>
      </c>
      <c r="I976">
        <v>2</v>
      </c>
      <c r="J976" t="s">
        <v>48</v>
      </c>
      <c r="K976" t="s">
        <v>46</v>
      </c>
      <c r="L976" t="s">
        <v>45</v>
      </c>
      <c r="M976" t="s">
        <v>78</v>
      </c>
      <c r="N976" s="15">
        <v>166.29</v>
      </c>
      <c r="O976" s="16">
        <v>-20.399999999999999</v>
      </c>
      <c r="P976">
        <v>0</v>
      </c>
    </row>
    <row r="977" spans="1:16" x14ac:dyDescent="0.3">
      <c r="A977" t="s">
        <v>57</v>
      </c>
      <c r="B977" t="s">
        <v>17</v>
      </c>
      <c r="C977" t="s">
        <v>17</v>
      </c>
      <c r="D977" t="s">
        <v>15</v>
      </c>
      <c r="E977" t="s">
        <v>75</v>
      </c>
      <c r="F977" t="s">
        <v>9</v>
      </c>
      <c r="G977" s="15">
        <v>129.12</v>
      </c>
      <c r="H977" t="s">
        <v>26</v>
      </c>
      <c r="I977">
        <v>2</v>
      </c>
      <c r="J977" t="s">
        <v>48</v>
      </c>
      <c r="K977" t="s">
        <v>45</v>
      </c>
      <c r="L977" t="s">
        <v>46</v>
      </c>
      <c r="M977" t="s">
        <v>61</v>
      </c>
      <c r="N977" s="15">
        <v>120.06</v>
      </c>
      <c r="O977" s="16">
        <v>7.5</v>
      </c>
      <c r="P977">
        <v>0</v>
      </c>
    </row>
    <row r="978" spans="1:16" x14ac:dyDescent="0.3">
      <c r="A978" t="s">
        <v>60</v>
      </c>
      <c r="B978" t="s">
        <v>22</v>
      </c>
      <c r="C978" t="s">
        <v>22</v>
      </c>
      <c r="D978" t="s">
        <v>8</v>
      </c>
      <c r="E978" t="s">
        <v>73</v>
      </c>
      <c r="F978" t="s">
        <v>9</v>
      </c>
      <c r="G978" s="15">
        <v>59.03</v>
      </c>
      <c r="H978" t="s">
        <v>27</v>
      </c>
      <c r="I978">
        <v>3</v>
      </c>
      <c r="J978" t="s">
        <v>48</v>
      </c>
      <c r="K978" t="s">
        <v>46</v>
      </c>
      <c r="L978" t="s">
        <v>45</v>
      </c>
      <c r="M978" t="s">
        <v>72</v>
      </c>
      <c r="N978" s="15">
        <v>82.04</v>
      </c>
      <c r="O978" s="16">
        <v>-28</v>
      </c>
      <c r="P978">
        <v>0</v>
      </c>
    </row>
    <row r="979" spans="1:16" x14ac:dyDescent="0.3">
      <c r="A979" t="s">
        <v>65</v>
      </c>
      <c r="B979" t="s">
        <v>22</v>
      </c>
      <c r="C979" t="s">
        <v>22</v>
      </c>
      <c r="D979" t="s">
        <v>14</v>
      </c>
      <c r="E979" t="s">
        <v>77</v>
      </c>
      <c r="F979" t="s">
        <v>9</v>
      </c>
      <c r="G979" s="15">
        <v>63.59</v>
      </c>
      <c r="H979" t="s">
        <v>27</v>
      </c>
      <c r="I979">
        <v>3</v>
      </c>
      <c r="J979" t="s">
        <v>48</v>
      </c>
      <c r="K979" t="s">
        <v>45</v>
      </c>
      <c r="L979" t="s">
        <v>45</v>
      </c>
      <c r="M979" t="s">
        <v>78</v>
      </c>
      <c r="N979" s="15">
        <v>70.66</v>
      </c>
      <c r="O979" s="16">
        <v>-10</v>
      </c>
      <c r="P979">
        <v>0</v>
      </c>
    </row>
    <row r="980" spans="1:16" x14ac:dyDescent="0.3">
      <c r="A980" t="s">
        <v>60</v>
      </c>
      <c r="B980" t="s">
        <v>17</v>
      </c>
      <c r="C980" t="s">
        <v>17</v>
      </c>
      <c r="D980" t="s">
        <v>14</v>
      </c>
      <c r="E980" t="s">
        <v>71</v>
      </c>
      <c r="F980" t="s">
        <v>9</v>
      </c>
      <c r="G980" s="15">
        <v>58.19</v>
      </c>
      <c r="H980" t="s">
        <v>27</v>
      </c>
      <c r="I980">
        <v>3</v>
      </c>
      <c r="J980" t="s">
        <v>48</v>
      </c>
      <c r="K980" t="s">
        <v>46</v>
      </c>
      <c r="L980" t="s">
        <v>45</v>
      </c>
      <c r="M980" t="s">
        <v>68</v>
      </c>
      <c r="N980" s="15">
        <v>65.239999999999995</v>
      </c>
      <c r="O980" s="16">
        <v>-10.8</v>
      </c>
      <c r="P980">
        <v>0</v>
      </c>
    </row>
    <row r="981" spans="1:16" x14ac:dyDescent="0.3">
      <c r="A981" t="s">
        <v>57</v>
      </c>
      <c r="B981" t="s">
        <v>21</v>
      </c>
      <c r="C981" t="s">
        <v>62</v>
      </c>
      <c r="D981" t="s">
        <v>12</v>
      </c>
      <c r="E981" t="s">
        <v>80</v>
      </c>
      <c r="F981" t="s">
        <v>13</v>
      </c>
      <c r="G981" s="15">
        <v>179.42</v>
      </c>
      <c r="H981" t="s">
        <v>26</v>
      </c>
      <c r="I981">
        <v>2</v>
      </c>
      <c r="J981" t="s">
        <v>47</v>
      </c>
      <c r="K981" t="s">
        <v>45</v>
      </c>
      <c r="L981" t="s">
        <v>45</v>
      </c>
      <c r="M981" t="s">
        <v>72</v>
      </c>
      <c r="N981" s="15">
        <v>162.72999999999999</v>
      </c>
      <c r="O981" s="16">
        <v>10.3</v>
      </c>
      <c r="P981">
        <v>0</v>
      </c>
    </row>
    <row r="982" spans="1:16" x14ac:dyDescent="0.3">
      <c r="A982" t="s">
        <v>57</v>
      </c>
      <c r="B982" t="s">
        <v>21</v>
      </c>
      <c r="C982" t="s">
        <v>62</v>
      </c>
      <c r="D982" t="s">
        <v>8</v>
      </c>
      <c r="E982" t="s">
        <v>73</v>
      </c>
      <c r="F982" t="s">
        <v>9</v>
      </c>
      <c r="G982" s="15">
        <v>74.290000000000006</v>
      </c>
      <c r="H982" t="s">
        <v>26</v>
      </c>
      <c r="I982">
        <v>2</v>
      </c>
      <c r="J982" t="s">
        <v>47</v>
      </c>
      <c r="K982" t="s">
        <v>46</v>
      </c>
      <c r="L982" t="s">
        <v>45</v>
      </c>
      <c r="M982" t="s">
        <v>68</v>
      </c>
      <c r="N982" s="15">
        <v>86.06</v>
      </c>
      <c r="O982" s="16">
        <v>-13.7</v>
      </c>
      <c r="P982">
        <v>0</v>
      </c>
    </row>
    <row r="983" spans="1:16" x14ac:dyDescent="0.3">
      <c r="A983" t="s">
        <v>57</v>
      </c>
      <c r="B983" t="s">
        <v>17</v>
      </c>
      <c r="C983" t="s">
        <v>17</v>
      </c>
      <c r="D983" t="s">
        <v>8</v>
      </c>
      <c r="E983" t="s">
        <v>73</v>
      </c>
      <c r="F983" t="s">
        <v>9</v>
      </c>
      <c r="G983" s="15">
        <v>82.85</v>
      </c>
      <c r="H983" t="s">
        <v>26</v>
      </c>
      <c r="I983">
        <v>2</v>
      </c>
      <c r="J983" t="s">
        <v>48</v>
      </c>
      <c r="K983" t="s">
        <v>45</v>
      </c>
      <c r="L983" t="s">
        <v>45</v>
      </c>
      <c r="M983" t="s">
        <v>67</v>
      </c>
      <c r="N983" s="15">
        <v>86.06</v>
      </c>
      <c r="O983" s="16">
        <v>-3.7</v>
      </c>
      <c r="P983">
        <v>0</v>
      </c>
    </row>
    <row r="984" spans="1:16" x14ac:dyDescent="0.3">
      <c r="A984" t="s">
        <v>65</v>
      </c>
      <c r="B984" t="s">
        <v>20</v>
      </c>
      <c r="C984" t="s">
        <v>20</v>
      </c>
      <c r="D984" t="s">
        <v>8</v>
      </c>
      <c r="E984" t="s">
        <v>74</v>
      </c>
      <c r="F984" t="s">
        <v>9</v>
      </c>
      <c r="G984" s="15">
        <v>99.82</v>
      </c>
      <c r="H984" t="s">
        <v>25</v>
      </c>
      <c r="I984">
        <v>1</v>
      </c>
      <c r="J984" t="s">
        <v>47</v>
      </c>
      <c r="K984" t="s">
        <v>45</v>
      </c>
      <c r="L984" t="s">
        <v>45</v>
      </c>
      <c r="M984" t="s">
        <v>68</v>
      </c>
      <c r="N984" s="15">
        <v>91.13</v>
      </c>
      <c r="O984" s="16">
        <v>9.5</v>
      </c>
      <c r="P984">
        <v>0</v>
      </c>
    </row>
    <row r="985" spans="1:16" x14ac:dyDescent="0.3">
      <c r="A985" t="s">
        <v>60</v>
      </c>
      <c r="B985" t="s">
        <v>22</v>
      </c>
      <c r="C985" t="s">
        <v>22</v>
      </c>
      <c r="D985" t="s">
        <v>14</v>
      </c>
      <c r="E985" t="s">
        <v>77</v>
      </c>
      <c r="F985" t="s">
        <v>9</v>
      </c>
      <c r="G985" s="15">
        <v>53.61</v>
      </c>
      <c r="H985" t="s">
        <v>26</v>
      </c>
      <c r="I985">
        <v>2</v>
      </c>
      <c r="J985" t="s">
        <v>48</v>
      </c>
      <c r="K985" t="s">
        <v>46</v>
      </c>
      <c r="L985" t="s">
        <v>45</v>
      </c>
      <c r="M985" t="s">
        <v>72</v>
      </c>
      <c r="N985" s="15">
        <v>67.13</v>
      </c>
      <c r="O985" s="16">
        <v>-20.100000000000001</v>
      </c>
      <c r="P985">
        <v>0</v>
      </c>
    </row>
    <row r="986" spans="1:16" x14ac:dyDescent="0.3">
      <c r="A986" t="s">
        <v>57</v>
      </c>
      <c r="B986" t="s">
        <v>19</v>
      </c>
      <c r="C986" t="s">
        <v>19</v>
      </c>
      <c r="D986" t="s">
        <v>14</v>
      </c>
      <c r="E986" t="s">
        <v>71</v>
      </c>
      <c r="F986" t="s">
        <v>9</v>
      </c>
      <c r="G986" s="15">
        <v>66.86</v>
      </c>
      <c r="H986" t="s">
        <v>26</v>
      </c>
      <c r="I986">
        <v>2</v>
      </c>
      <c r="J986" t="s">
        <v>47</v>
      </c>
      <c r="K986" t="s">
        <v>46</v>
      </c>
      <c r="L986" t="s">
        <v>46</v>
      </c>
      <c r="M986" t="s">
        <v>78</v>
      </c>
      <c r="N986" s="15">
        <v>65.77</v>
      </c>
      <c r="O986" s="16">
        <v>1.7</v>
      </c>
      <c r="P986">
        <v>0</v>
      </c>
    </row>
    <row r="987" spans="1:16" x14ac:dyDescent="0.3">
      <c r="A987" t="s">
        <v>57</v>
      </c>
      <c r="B987" t="s">
        <v>21</v>
      </c>
      <c r="C987" t="s">
        <v>62</v>
      </c>
      <c r="D987" t="s">
        <v>8</v>
      </c>
      <c r="E987" t="s">
        <v>74</v>
      </c>
      <c r="F987" t="s">
        <v>9</v>
      </c>
      <c r="G987" s="15">
        <v>87.24</v>
      </c>
      <c r="H987" t="s">
        <v>26</v>
      </c>
      <c r="I987">
        <v>2</v>
      </c>
      <c r="J987" t="s">
        <v>48</v>
      </c>
      <c r="K987" t="s">
        <v>46</v>
      </c>
      <c r="L987" t="s">
        <v>45</v>
      </c>
      <c r="M987" t="s">
        <v>68</v>
      </c>
      <c r="N987" s="15">
        <v>83.41</v>
      </c>
      <c r="O987" s="16">
        <v>4.5999999999999996</v>
      </c>
      <c r="P987">
        <v>0</v>
      </c>
    </row>
    <row r="988" spans="1:16" x14ac:dyDescent="0.3">
      <c r="A988" t="s">
        <v>65</v>
      </c>
      <c r="B988" t="s">
        <v>19</v>
      </c>
      <c r="C988" t="s">
        <v>19</v>
      </c>
      <c r="D988" t="s">
        <v>8</v>
      </c>
      <c r="E988" t="s">
        <v>74</v>
      </c>
      <c r="F988" t="s">
        <v>9</v>
      </c>
      <c r="G988" s="15">
        <v>87.44</v>
      </c>
      <c r="H988" t="s">
        <v>25</v>
      </c>
      <c r="I988">
        <v>1</v>
      </c>
      <c r="J988" t="s">
        <v>44</v>
      </c>
      <c r="K988" t="s">
        <v>45</v>
      </c>
      <c r="L988" t="s">
        <v>46</v>
      </c>
      <c r="M988" t="s">
        <v>78</v>
      </c>
      <c r="N988" s="15">
        <v>91.13</v>
      </c>
      <c r="O988" s="16">
        <v>-4</v>
      </c>
      <c r="P988">
        <v>0</v>
      </c>
    </row>
    <row r="989" spans="1:16" x14ac:dyDescent="0.3">
      <c r="A989" t="s">
        <v>60</v>
      </c>
      <c r="B989" t="s">
        <v>18</v>
      </c>
      <c r="C989" t="s">
        <v>18</v>
      </c>
      <c r="D989" t="s">
        <v>14</v>
      </c>
      <c r="E989" t="s">
        <v>77</v>
      </c>
      <c r="F989" t="s">
        <v>9</v>
      </c>
      <c r="G989" s="15">
        <v>67.92</v>
      </c>
      <c r="H989" t="s">
        <v>26</v>
      </c>
      <c r="I989">
        <v>2</v>
      </c>
      <c r="J989" t="s">
        <v>47</v>
      </c>
      <c r="K989" t="s">
        <v>46</v>
      </c>
      <c r="L989" t="s">
        <v>45</v>
      </c>
      <c r="M989" t="s">
        <v>64</v>
      </c>
      <c r="N989" s="15">
        <v>67.13</v>
      </c>
      <c r="O989" s="16">
        <v>1.2</v>
      </c>
      <c r="P989">
        <v>0</v>
      </c>
    </row>
    <row r="990" spans="1:16" x14ac:dyDescent="0.3">
      <c r="A990" t="s">
        <v>57</v>
      </c>
      <c r="B990" t="s">
        <v>21</v>
      </c>
      <c r="C990" t="s">
        <v>62</v>
      </c>
      <c r="D990" t="s">
        <v>14</v>
      </c>
      <c r="E990" t="s">
        <v>77</v>
      </c>
      <c r="F990" t="s">
        <v>9</v>
      </c>
      <c r="G990" s="15">
        <v>69.42</v>
      </c>
      <c r="H990" t="s">
        <v>26</v>
      </c>
      <c r="I990">
        <v>2</v>
      </c>
      <c r="J990" t="s">
        <v>48</v>
      </c>
      <c r="K990" t="s">
        <v>45</v>
      </c>
      <c r="L990" t="s">
        <v>46</v>
      </c>
      <c r="M990" t="s">
        <v>68</v>
      </c>
      <c r="N990" s="15">
        <v>65.97</v>
      </c>
      <c r="O990" s="16">
        <v>5.2</v>
      </c>
      <c r="P990">
        <v>0</v>
      </c>
    </row>
    <row r="991" spans="1:16" x14ac:dyDescent="0.3">
      <c r="A991" t="s">
        <v>57</v>
      </c>
      <c r="B991" t="s">
        <v>21</v>
      </c>
      <c r="C991" t="s">
        <v>62</v>
      </c>
      <c r="D991" t="s">
        <v>12</v>
      </c>
      <c r="E991" t="s">
        <v>80</v>
      </c>
      <c r="F991" t="s">
        <v>13</v>
      </c>
      <c r="G991" s="15">
        <v>168.06</v>
      </c>
      <c r="H991" t="s">
        <v>26</v>
      </c>
      <c r="I991">
        <v>2</v>
      </c>
      <c r="J991" t="s">
        <v>47</v>
      </c>
      <c r="K991" t="s">
        <v>45</v>
      </c>
      <c r="L991" t="s">
        <v>45</v>
      </c>
      <c r="M991" t="s">
        <v>64</v>
      </c>
      <c r="N991" s="15">
        <v>162.72999999999999</v>
      </c>
      <c r="O991" s="16">
        <v>3.3</v>
      </c>
      <c r="P991">
        <v>0</v>
      </c>
    </row>
    <row r="992" spans="1:16" x14ac:dyDescent="0.3">
      <c r="A992" t="s">
        <v>57</v>
      </c>
      <c r="B992" t="s">
        <v>19</v>
      </c>
      <c r="C992" t="s">
        <v>19</v>
      </c>
      <c r="D992" t="s">
        <v>14</v>
      </c>
      <c r="E992" t="s">
        <v>77</v>
      </c>
      <c r="F992" t="s">
        <v>9</v>
      </c>
      <c r="G992" s="15">
        <v>67.52</v>
      </c>
      <c r="H992" t="s">
        <v>25</v>
      </c>
      <c r="I992">
        <v>1</v>
      </c>
      <c r="J992" t="s">
        <v>48</v>
      </c>
      <c r="K992" t="s">
        <v>46</v>
      </c>
      <c r="L992" t="s">
        <v>45</v>
      </c>
      <c r="M992" t="s">
        <v>67</v>
      </c>
      <c r="N992" s="15">
        <v>65.97</v>
      </c>
      <c r="O992" s="16">
        <v>2.2999999999999998</v>
      </c>
      <c r="P992">
        <v>0</v>
      </c>
    </row>
    <row r="993" spans="1:16" x14ac:dyDescent="0.3">
      <c r="A993" t="s">
        <v>65</v>
      </c>
      <c r="B993" t="s">
        <v>21</v>
      </c>
      <c r="C993" t="s">
        <v>62</v>
      </c>
      <c r="D993" t="s">
        <v>12</v>
      </c>
      <c r="E993" t="s">
        <v>80</v>
      </c>
      <c r="F993" t="s">
        <v>13</v>
      </c>
      <c r="G993" s="15">
        <v>176.57</v>
      </c>
      <c r="H993" t="s">
        <v>25</v>
      </c>
      <c r="I993">
        <v>1</v>
      </c>
      <c r="J993" t="s">
        <v>47</v>
      </c>
      <c r="K993" t="s">
        <v>45</v>
      </c>
      <c r="L993" t="s">
        <v>45</v>
      </c>
      <c r="M993" t="s">
        <v>61</v>
      </c>
      <c r="N993" s="15">
        <v>176.57</v>
      </c>
      <c r="O993" s="16">
        <v>0</v>
      </c>
      <c r="P993">
        <v>0</v>
      </c>
    </row>
    <row r="994" spans="1:16" x14ac:dyDescent="0.3">
      <c r="A994" t="s">
        <v>65</v>
      </c>
      <c r="B994" t="s">
        <v>21</v>
      </c>
      <c r="C994" t="s">
        <v>62</v>
      </c>
      <c r="D994" t="s">
        <v>15</v>
      </c>
      <c r="E994" t="s">
        <v>75</v>
      </c>
      <c r="F994" t="s">
        <v>9</v>
      </c>
      <c r="G994" s="15">
        <v>121.28</v>
      </c>
      <c r="H994" t="s">
        <v>26</v>
      </c>
      <c r="I994">
        <v>2</v>
      </c>
      <c r="J994" t="s">
        <v>47</v>
      </c>
      <c r="K994" t="s">
        <v>45</v>
      </c>
      <c r="L994" t="s">
        <v>46</v>
      </c>
      <c r="M994" t="s">
        <v>72</v>
      </c>
      <c r="N994" s="15">
        <v>126.9</v>
      </c>
      <c r="O994" s="16">
        <v>-4.4000000000000004</v>
      </c>
      <c r="P994">
        <v>0</v>
      </c>
    </row>
    <row r="995" spans="1:16" x14ac:dyDescent="0.3">
      <c r="A995" t="s">
        <v>65</v>
      </c>
      <c r="B995" t="s">
        <v>20</v>
      </c>
      <c r="C995" t="s">
        <v>20</v>
      </c>
      <c r="D995" t="s">
        <v>12</v>
      </c>
      <c r="E995" t="s">
        <v>80</v>
      </c>
      <c r="F995" t="s">
        <v>13</v>
      </c>
      <c r="G995" s="15">
        <v>157.66999999999999</v>
      </c>
      <c r="H995" t="s">
        <v>27</v>
      </c>
      <c r="I995">
        <v>3</v>
      </c>
      <c r="J995" t="s">
        <v>47</v>
      </c>
      <c r="K995" t="s">
        <v>46</v>
      </c>
      <c r="L995" t="s">
        <v>45</v>
      </c>
      <c r="M995" t="s">
        <v>72</v>
      </c>
      <c r="N995" s="15">
        <v>176.57</v>
      </c>
      <c r="O995" s="16">
        <v>-10.7</v>
      </c>
      <c r="P995">
        <v>0</v>
      </c>
    </row>
    <row r="996" spans="1:16" x14ac:dyDescent="0.3">
      <c r="A996" t="s">
        <v>65</v>
      </c>
      <c r="B996" t="s">
        <v>19</v>
      </c>
      <c r="C996" t="s">
        <v>19</v>
      </c>
      <c r="D996" t="s">
        <v>12</v>
      </c>
      <c r="E996" t="s">
        <v>66</v>
      </c>
      <c r="F996" t="s">
        <v>13</v>
      </c>
      <c r="G996" s="15">
        <v>141.62</v>
      </c>
      <c r="H996" t="s">
        <v>26</v>
      </c>
      <c r="I996">
        <v>2</v>
      </c>
      <c r="J996" t="s">
        <v>47</v>
      </c>
      <c r="K996" t="s">
        <v>45</v>
      </c>
      <c r="L996" t="s">
        <v>45</v>
      </c>
      <c r="M996" t="s">
        <v>64</v>
      </c>
      <c r="N996" s="15">
        <v>178.49</v>
      </c>
      <c r="O996" s="16">
        <v>-20.7</v>
      </c>
      <c r="P996">
        <v>0</v>
      </c>
    </row>
    <row r="997" spans="1:16" x14ac:dyDescent="0.3">
      <c r="A997" t="s">
        <v>60</v>
      </c>
      <c r="B997" t="s">
        <v>19</v>
      </c>
      <c r="C997" t="s">
        <v>19</v>
      </c>
      <c r="D997" t="s">
        <v>11</v>
      </c>
      <c r="E997" t="s">
        <v>70</v>
      </c>
      <c r="F997" t="s">
        <v>9</v>
      </c>
      <c r="G997" s="15">
        <v>28.81</v>
      </c>
      <c r="H997" t="s">
        <v>26</v>
      </c>
      <c r="I997">
        <v>2</v>
      </c>
      <c r="J997" t="s">
        <v>48</v>
      </c>
      <c r="K997" t="s">
        <v>45</v>
      </c>
      <c r="L997" t="s">
        <v>45</v>
      </c>
      <c r="M997" t="s">
        <v>68</v>
      </c>
      <c r="N997" s="15">
        <v>31.4</v>
      </c>
      <c r="O997" s="16">
        <v>-8.1999999999999993</v>
      </c>
      <c r="P997">
        <v>0</v>
      </c>
    </row>
    <row r="998" spans="1:16" x14ac:dyDescent="0.3">
      <c r="A998" t="s">
        <v>60</v>
      </c>
      <c r="B998" t="s">
        <v>21</v>
      </c>
      <c r="C998" t="s">
        <v>62</v>
      </c>
      <c r="D998" t="s">
        <v>14</v>
      </c>
      <c r="E998" t="s">
        <v>71</v>
      </c>
      <c r="F998" t="s">
        <v>9</v>
      </c>
      <c r="G998" s="15">
        <v>58.13</v>
      </c>
      <c r="H998" t="s">
        <v>27</v>
      </c>
      <c r="I998">
        <v>3</v>
      </c>
      <c r="J998" t="s">
        <v>48</v>
      </c>
      <c r="K998" t="s">
        <v>46</v>
      </c>
      <c r="L998" t="s">
        <v>45</v>
      </c>
      <c r="M998" t="s">
        <v>59</v>
      </c>
      <c r="N998" s="15">
        <v>65.239999999999995</v>
      </c>
      <c r="O998" s="16">
        <v>-10.9</v>
      </c>
      <c r="P998">
        <v>0</v>
      </c>
    </row>
    <row r="999" spans="1:16" x14ac:dyDescent="0.3">
      <c r="A999" t="s">
        <v>65</v>
      </c>
      <c r="B999" t="s">
        <v>21</v>
      </c>
      <c r="C999" t="s">
        <v>62</v>
      </c>
      <c r="D999" t="s">
        <v>11</v>
      </c>
      <c r="E999" t="s">
        <v>79</v>
      </c>
      <c r="F999" t="s">
        <v>9</v>
      </c>
      <c r="G999" s="15">
        <v>24.57</v>
      </c>
      <c r="H999" t="s">
        <v>27</v>
      </c>
      <c r="I999">
        <v>3</v>
      </c>
      <c r="J999" t="s">
        <v>47</v>
      </c>
      <c r="K999" t="s">
        <v>46</v>
      </c>
      <c r="L999" t="s">
        <v>45</v>
      </c>
      <c r="M999" t="s">
        <v>68</v>
      </c>
      <c r="N999" s="15">
        <v>33.39</v>
      </c>
      <c r="O999" s="16">
        <v>-26.4</v>
      </c>
      <c r="P999">
        <v>0</v>
      </c>
    </row>
    <row r="1000" spans="1:16" x14ac:dyDescent="0.3">
      <c r="A1000" t="s">
        <v>60</v>
      </c>
      <c r="B1000" t="s">
        <v>22</v>
      </c>
      <c r="C1000" t="s">
        <v>22</v>
      </c>
      <c r="D1000" t="s">
        <v>14</v>
      </c>
      <c r="E1000" t="s">
        <v>63</v>
      </c>
      <c r="F1000" t="s">
        <v>9</v>
      </c>
      <c r="G1000" s="15">
        <v>57.98</v>
      </c>
      <c r="H1000" t="s">
        <v>27</v>
      </c>
      <c r="I1000">
        <v>3</v>
      </c>
      <c r="J1000" t="s">
        <v>48</v>
      </c>
      <c r="K1000" t="s">
        <v>46</v>
      </c>
      <c r="L1000" t="s">
        <v>45</v>
      </c>
      <c r="M1000" t="s">
        <v>61</v>
      </c>
      <c r="N1000" s="15">
        <v>66.680000000000007</v>
      </c>
      <c r="O1000" s="16">
        <v>-13</v>
      </c>
      <c r="P1000">
        <v>0</v>
      </c>
    </row>
    <row r="1001" spans="1:16" x14ac:dyDescent="0.3">
      <c r="A1001" t="s">
        <v>60</v>
      </c>
      <c r="B1001" t="s">
        <v>19</v>
      </c>
      <c r="C1001" t="s">
        <v>19</v>
      </c>
      <c r="D1001" t="s">
        <v>14</v>
      </c>
      <c r="E1001" t="s">
        <v>63</v>
      </c>
      <c r="F1001" t="s">
        <v>9</v>
      </c>
      <c r="G1001" s="15">
        <v>61.01</v>
      </c>
      <c r="H1001" t="s">
        <v>27</v>
      </c>
      <c r="I1001">
        <v>3</v>
      </c>
      <c r="J1001" t="s">
        <v>48</v>
      </c>
      <c r="K1001" t="s">
        <v>46</v>
      </c>
      <c r="L1001" t="s">
        <v>45</v>
      </c>
      <c r="M1001" t="s">
        <v>61</v>
      </c>
      <c r="N1001" s="15">
        <v>66.680000000000007</v>
      </c>
      <c r="O1001" s="16">
        <v>-8.5</v>
      </c>
      <c r="P1001">
        <v>0</v>
      </c>
    </row>
    <row r="1002" spans="1:16" x14ac:dyDescent="0.3">
      <c r="A1002" t="s">
        <v>65</v>
      </c>
      <c r="B1002" t="s">
        <v>18</v>
      </c>
      <c r="C1002" t="s">
        <v>18</v>
      </c>
      <c r="D1002" t="s">
        <v>10</v>
      </c>
      <c r="E1002" t="s">
        <v>58</v>
      </c>
      <c r="F1002" t="s">
        <v>9</v>
      </c>
      <c r="G1002" s="15">
        <v>156.94999999999999</v>
      </c>
      <c r="H1002" t="s">
        <v>26</v>
      </c>
      <c r="I1002">
        <v>2</v>
      </c>
      <c r="J1002" t="s">
        <v>47</v>
      </c>
      <c r="K1002" t="s">
        <v>45</v>
      </c>
      <c r="L1002" t="s">
        <v>46</v>
      </c>
      <c r="M1002" t="s">
        <v>64</v>
      </c>
      <c r="N1002" s="15">
        <v>166.29</v>
      </c>
      <c r="O1002" s="16">
        <v>-5.6</v>
      </c>
      <c r="P1002">
        <v>0</v>
      </c>
    </row>
    <row r="1003" spans="1:16" x14ac:dyDescent="0.3">
      <c r="A1003" t="s">
        <v>57</v>
      </c>
      <c r="B1003" t="s">
        <v>20</v>
      </c>
      <c r="C1003" t="s">
        <v>20</v>
      </c>
      <c r="D1003" t="s">
        <v>12</v>
      </c>
      <c r="E1003" t="s">
        <v>80</v>
      </c>
      <c r="F1003" t="s">
        <v>13</v>
      </c>
      <c r="G1003" s="15">
        <v>179.56</v>
      </c>
      <c r="H1003" t="s">
        <v>26</v>
      </c>
      <c r="I1003">
        <v>2</v>
      </c>
      <c r="J1003" t="s">
        <v>47</v>
      </c>
      <c r="K1003" t="s">
        <v>45</v>
      </c>
      <c r="L1003" t="s">
        <v>45</v>
      </c>
      <c r="M1003" t="s">
        <v>59</v>
      </c>
      <c r="N1003" s="15">
        <v>162.72999999999999</v>
      </c>
      <c r="O1003" s="16">
        <v>10.3</v>
      </c>
      <c r="P1003">
        <v>0</v>
      </c>
    </row>
    <row r="1004" spans="1:16" x14ac:dyDescent="0.3">
      <c r="A1004" t="s">
        <v>60</v>
      </c>
      <c r="B1004" t="s">
        <v>20</v>
      </c>
      <c r="C1004" t="s">
        <v>20</v>
      </c>
      <c r="D1004" t="s">
        <v>11</v>
      </c>
      <c r="E1004" t="s">
        <v>70</v>
      </c>
      <c r="F1004" t="s">
        <v>9</v>
      </c>
      <c r="G1004" s="15">
        <v>26.48</v>
      </c>
      <c r="H1004" t="s">
        <v>27</v>
      </c>
      <c r="I1004">
        <v>3</v>
      </c>
      <c r="J1004" t="s">
        <v>48</v>
      </c>
      <c r="K1004" t="s">
        <v>46</v>
      </c>
      <c r="L1004" t="s">
        <v>45</v>
      </c>
      <c r="M1004" t="s">
        <v>61</v>
      </c>
      <c r="N1004" s="15">
        <v>31.4</v>
      </c>
      <c r="O1004" s="16">
        <v>-15.7</v>
      </c>
      <c r="P1004">
        <v>0</v>
      </c>
    </row>
    <row r="1005" spans="1:16" x14ac:dyDescent="0.3">
      <c r="A1005" t="s">
        <v>57</v>
      </c>
      <c r="B1005" t="s">
        <v>22</v>
      </c>
      <c r="C1005" t="s">
        <v>22</v>
      </c>
      <c r="D1005" t="s">
        <v>14</v>
      </c>
      <c r="E1005" t="s">
        <v>63</v>
      </c>
      <c r="F1005" t="s">
        <v>9</v>
      </c>
      <c r="G1005" s="15">
        <v>65.25</v>
      </c>
      <c r="H1005" t="s">
        <v>26</v>
      </c>
      <c r="I1005">
        <v>2</v>
      </c>
      <c r="J1005" t="s">
        <v>48</v>
      </c>
      <c r="K1005" t="s">
        <v>46</v>
      </c>
      <c r="L1005" t="s">
        <v>45</v>
      </c>
      <c r="M1005" t="s">
        <v>67</v>
      </c>
      <c r="N1005" s="15">
        <v>65.16</v>
      </c>
      <c r="O1005" s="16">
        <v>0.1</v>
      </c>
      <c r="P1005">
        <v>0</v>
      </c>
    </row>
    <row r="1006" spans="1:16" x14ac:dyDescent="0.3">
      <c r="A1006" t="s">
        <v>65</v>
      </c>
      <c r="B1006" t="s">
        <v>20</v>
      </c>
      <c r="C1006" t="s">
        <v>20</v>
      </c>
      <c r="D1006" t="s">
        <v>8</v>
      </c>
      <c r="E1006" t="s">
        <v>73</v>
      </c>
      <c r="F1006" t="s">
        <v>9</v>
      </c>
      <c r="G1006" s="15">
        <v>85.56</v>
      </c>
      <c r="H1006" t="s">
        <v>26</v>
      </c>
      <c r="I1006">
        <v>2</v>
      </c>
      <c r="J1006" t="s">
        <v>48</v>
      </c>
      <c r="K1006" t="s">
        <v>45</v>
      </c>
      <c r="L1006" t="s">
        <v>45</v>
      </c>
      <c r="M1006" t="s">
        <v>67</v>
      </c>
      <c r="N1006" s="15">
        <v>88.05</v>
      </c>
      <c r="O1006" s="16">
        <v>-2.8</v>
      </c>
      <c r="P1006">
        <v>0</v>
      </c>
    </row>
    <row r="1007" spans="1:16" x14ac:dyDescent="0.3">
      <c r="A1007" t="s">
        <v>65</v>
      </c>
      <c r="B1007" t="s">
        <v>17</v>
      </c>
      <c r="C1007" t="s">
        <v>17</v>
      </c>
      <c r="D1007" t="s">
        <v>8</v>
      </c>
      <c r="E1007" t="s">
        <v>73</v>
      </c>
      <c r="F1007" t="s">
        <v>9</v>
      </c>
      <c r="G1007" s="15">
        <v>92.82</v>
      </c>
      <c r="H1007" t="s">
        <v>25</v>
      </c>
      <c r="I1007">
        <v>1</v>
      </c>
      <c r="J1007" t="s">
        <v>47</v>
      </c>
      <c r="K1007" t="s">
        <v>45</v>
      </c>
      <c r="L1007" t="s">
        <v>45</v>
      </c>
      <c r="M1007" t="s">
        <v>61</v>
      </c>
      <c r="N1007" s="15">
        <v>88.05</v>
      </c>
      <c r="O1007" s="16">
        <v>5.4</v>
      </c>
      <c r="P1007">
        <v>0</v>
      </c>
    </row>
    <row r="1008" spans="1:16" x14ac:dyDescent="0.3">
      <c r="A1008" t="s">
        <v>65</v>
      </c>
      <c r="B1008" t="s">
        <v>21</v>
      </c>
      <c r="C1008" t="s">
        <v>62</v>
      </c>
      <c r="D1008" t="s">
        <v>11</v>
      </c>
      <c r="E1008" t="s">
        <v>79</v>
      </c>
      <c r="F1008" t="s">
        <v>9</v>
      </c>
      <c r="G1008" s="15">
        <v>35.33</v>
      </c>
      <c r="H1008" t="s">
        <v>26</v>
      </c>
      <c r="I1008">
        <v>2</v>
      </c>
      <c r="J1008" t="s">
        <v>47</v>
      </c>
      <c r="K1008" t="s">
        <v>46</v>
      </c>
      <c r="L1008" t="s">
        <v>46</v>
      </c>
      <c r="M1008" t="s">
        <v>67</v>
      </c>
      <c r="N1008" s="15">
        <v>33.39</v>
      </c>
      <c r="O1008" s="16">
        <v>5.8</v>
      </c>
      <c r="P1008">
        <v>0</v>
      </c>
    </row>
    <row r="1009" spans="1:16" x14ac:dyDescent="0.3">
      <c r="A1009" t="s">
        <v>57</v>
      </c>
      <c r="B1009" t="s">
        <v>20</v>
      </c>
      <c r="C1009" t="s">
        <v>20</v>
      </c>
      <c r="D1009" t="s">
        <v>12</v>
      </c>
      <c r="E1009" t="s">
        <v>66</v>
      </c>
      <c r="F1009" t="s">
        <v>13</v>
      </c>
      <c r="G1009" s="15">
        <v>180.48</v>
      </c>
      <c r="H1009" t="s">
        <v>27</v>
      </c>
      <c r="I1009">
        <v>3</v>
      </c>
      <c r="J1009" t="s">
        <v>47</v>
      </c>
      <c r="K1009" t="s">
        <v>45</v>
      </c>
      <c r="L1009" t="s">
        <v>45</v>
      </c>
      <c r="M1009" t="s">
        <v>78</v>
      </c>
      <c r="N1009" s="15">
        <v>170.56</v>
      </c>
      <c r="O1009" s="16">
        <v>5.8</v>
      </c>
      <c r="P1009">
        <v>0</v>
      </c>
    </row>
    <row r="1010" spans="1:16" x14ac:dyDescent="0.3">
      <c r="A1010" t="s">
        <v>65</v>
      </c>
      <c r="B1010" t="s">
        <v>19</v>
      </c>
      <c r="C1010" t="s">
        <v>19</v>
      </c>
      <c r="D1010" t="s">
        <v>8</v>
      </c>
      <c r="E1010" t="s">
        <v>73</v>
      </c>
      <c r="F1010" t="s">
        <v>9</v>
      </c>
      <c r="G1010" s="15">
        <v>99.94</v>
      </c>
      <c r="H1010" t="s">
        <v>26</v>
      </c>
      <c r="I1010">
        <v>2</v>
      </c>
      <c r="J1010" t="s">
        <v>47</v>
      </c>
      <c r="K1010" t="s">
        <v>45</v>
      </c>
      <c r="L1010" t="s">
        <v>45</v>
      </c>
      <c r="M1010" t="s">
        <v>72</v>
      </c>
      <c r="N1010" s="15">
        <v>88.05</v>
      </c>
      <c r="O1010" s="16">
        <v>13.5</v>
      </c>
      <c r="P1010">
        <v>0</v>
      </c>
    </row>
    <row r="1011" spans="1:16" x14ac:dyDescent="0.3">
      <c r="A1011" t="s">
        <v>57</v>
      </c>
      <c r="B1011" t="s">
        <v>21</v>
      </c>
      <c r="C1011" t="s">
        <v>62</v>
      </c>
      <c r="D1011" t="s">
        <v>14</v>
      </c>
      <c r="E1011" t="s">
        <v>63</v>
      </c>
      <c r="F1011" t="s">
        <v>9</v>
      </c>
      <c r="G1011" s="15">
        <v>80</v>
      </c>
      <c r="H1011" t="s">
        <v>26</v>
      </c>
      <c r="I1011">
        <v>2</v>
      </c>
      <c r="J1011" t="s">
        <v>48</v>
      </c>
      <c r="K1011" t="s">
        <v>45</v>
      </c>
      <c r="L1011" t="s">
        <v>45</v>
      </c>
      <c r="M1011" t="s">
        <v>67</v>
      </c>
      <c r="N1011" s="15">
        <v>65.16</v>
      </c>
      <c r="O1011" s="16">
        <v>22.8</v>
      </c>
      <c r="P1011">
        <v>1</v>
      </c>
    </row>
    <row r="1012" spans="1:16" x14ac:dyDescent="0.3">
      <c r="A1012" t="s">
        <v>65</v>
      </c>
      <c r="B1012" t="s">
        <v>19</v>
      </c>
      <c r="C1012" t="s">
        <v>19</v>
      </c>
      <c r="D1012" t="s">
        <v>12</v>
      </c>
      <c r="E1012" t="s">
        <v>80</v>
      </c>
      <c r="F1012" t="s">
        <v>13</v>
      </c>
      <c r="G1012" s="15">
        <v>186.56</v>
      </c>
      <c r="H1012" t="s">
        <v>26</v>
      </c>
      <c r="I1012">
        <v>2</v>
      </c>
      <c r="J1012" t="s">
        <v>47</v>
      </c>
      <c r="K1012" t="s">
        <v>45</v>
      </c>
      <c r="L1012" t="s">
        <v>45</v>
      </c>
      <c r="M1012" t="s">
        <v>59</v>
      </c>
      <c r="N1012" s="15">
        <v>176.57</v>
      </c>
      <c r="O1012" s="16">
        <v>5.7</v>
      </c>
      <c r="P1012">
        <v>0</v>
      </c>
    </row>
    <row r="1013" spans="1:16" x14ac:dyDescent="0.3">
      <c r="A1013" t="s">
        <v>65</v>
      </c>
      <c r="B1013" t="s">
        <v>21</v>
      </c>
      <c r="C1013" t="s">
        <v>62</v>
      </c>
      <c r="D1013" t="s">
        <v>8</v>
      </c>
      <c r="E1013" t="s">
        <v>73</v>
      </c>
      <c r="F1013" t="s">
        <v>9</v>
      </c>
      <c r="G1013" s="15">
        <v>107.31</v>
      </c>
      <c r="H1013" t="s">
        <v>27</v>
      </c>
      <c r="I1013">
        <v>3</v>
      </c>
      <c r="J1013" t="s">
        <v>47</v>
      </c>
      <c r="K1013" t="s">
        <v>45</v>
      </c>
      <c r="L1013" t="s">
        <v>45</v>
      </c>
      <c r="M1013" t="s">
        <v>61</v>
      </c>
      <c r="N1013" s="15">
        <v>88.05</v>
      </c>
      <c r="O1013" s="16">
        <v>21.9</v>
      </c>
      <c r="P1013">
        <v>1</v>
      </c>
    </row>
    <row r="1014" spans="1:16" x14ac:dyDescent="0.3">
      <c r="A1014" t="s">
        <v>57</v>
      </c>
      <c r="B1014" t="s">
        <v>18</v>
      </c>
      <c r="C1014" t="s">
        <v>18</v>
      </c>
      <c r="D1014" t="s">
        <v>11</v>
      </c>
      <c r="E1014" t="s">
        <v>79</v>
      </c>
      <c r="F1014" t="s">
        <v>9</v>
      </c>
      <c r="G1014" s="15">
        <v>29.16</v>
      </c>
      <c r="H1014" t="s">
        <v>26</v>
      </c>
      <c r="I1014">
        <v>2</v>
      </c>
      <c r="J1014" t="s">
        <v>47</v>
      </c>
      <c r="K1014" t="s">
        <v>46</v>
      </c>
      <c r="L1014" t="s">
        <v>45</v>
      </c>
      <c r="M1014" t="s">
        <v>59</v>
      </c>
      <c r="N1014" s="15">
        <v>30.93</v>
      </c>
      <c r="O1014" s="16">
        <v>-5.7</v>
      </c>
      <c r="P1014">
        <v>0</v>
      </c>
    </row>
    <row r="1015" spans="1:16" x14ac:dyDescent="0.3">
      <c r="A1015" t="s">
        <v>65</v>
      </c>
      <c r="B1015" t="s">
        <v>19</v>
      </c>
      <c r="C1015" t="s">
        <v>19</v>
      </c>
      <c r="D1015" t="s">
        <v>11</v>
      </c>
      <c r="E1015" t="s">
        <v>70</v>
      </c>
      <c r="F1015" t="s">
        <v>9</v>
      </c>
      <c r="G1015" s="15">
        <v>27.89</v>
      </c>
      <c r="H1015" t="s">
        <v>27</v>
      </c>
      <c r="I1015">
        <v>3</v>
      </c>
      <c r="J1015" t="s">
        <v>48</v>
      </c>
      <c r="K1015" t="s">
        <v>46</v>
      </c>
      <c r="L1015" t="s">
        <v>45</v>
      </c>
      <c r="M1015" t="s">
        <v>61</v>
      </c>
      <c r="N1015" s="15">
        <v>32.630000000000003</v>
      </c>
      <c r="O1015" s="16">
        <v>-14.5</v>
      </c>
      <c r="P1015">
        <v>0</v>
      </c>
    </row>
    <row r="1016" spans="1:16" x14ac:dyDescent="0.3">
      <c r="A1016" t="s">
        <v>60</v>
      </c>
      <c r="B1016" t="s">
        <v>20</v>
      </c>
      <c r="C1016" t="s">
        <v>20</v>
      </c>
      <c r="D1016" t="s">
        <v>15</v>
      </c>
      <c r="E1016" t="s">
        <v>75</v>
      </c>
      <c r="F1016" t="s">
        <v>9</v>
      </c>
      <c r="G1016" s="15">
        <v>107.49</v>
      </c>
      <c r="H1016" t="s">
        <v>26</v>
      </c>
      <c r="I1016">
        <v>2</v>
      </c>
      <c r="J1016" t="s">
        <v>48</v>
      </c>
      <c r="K1016" t="s">
        <v>46</v>
      </c>
      <c r="L1016" t="s">
        <v>45</v>
      </c>
      <c r="M1016" t="s">
        <v>64</v>
      </c>
      <c r="N1016" s="15">
        <v>119</v>
      </c>
      <c r="O1016" s="16">
        <v>-9.6999999999999993</v>
      </c>
      <c r="P1016">
        <v>0</v>
      </c>
    </row>
    <row r="1017" spans="1:16" x14ac:dyDescent="0.3">
      <c r="A1017" t="s">
        <v>60</v>
      </c>
      <c r="B1017" t="s">
        <v>17</v>
      </c>
      <c r="C1017" t="s">
        <v>17</v>
      </c>
      <c r="D1017" t="s">
        <v>14</v>
      </c>
      <c r="E1017" t="s">
        <v>63</v>
      </c>
      <c r="F1017" t="s">
        <v>9</v>
      </c>
      <c r="G1017" s="15">
        <v>72.77</v>
      </c>
      <c r="H1017" t="s">
        <v>27</v>
      </c>
      <c r="I1017">
        <v>3</v>
      </c>
      <c r="J1017" t="s">
        <v>48</v>
      </c>
      <c r="K1017" t="s">
        <v>45</v>
      </c>
      <c r="L1017" t="s">
        <v>45</v>
      </c>
      <c r="M1017" t="s">
        <v>72</v>
      </c>
      <c r="N1017" s="15">
        <v>66.680000000000007</v>
      </c>
      <c r="O1017" s="16">
        <v>9.1</v>
      </c>
      <c r="P1017">
        <v>0</v>
      </c>
    </row>
    <row r="1018" spans="1:16" x14ac:dyDescent="0.3">
      <c r="A1018" t="s">
        <v>60</v>
      </c>
      <c r="B1018" t="s">
        <v>18</v>
      </c>
      <c r="C1018" t="s">
        <v>18</v>
      </c>
      <c r="D1018" t="s">
        <v>8</v>
      </c>
      <c r="E1018" t="s">
        <v>74</v>
      </c>
      <c r="F1018" t="s">
        <v>9</v>
      </c>
      <c r="G1018" s="15">
        <v>103.21</v>
      </c>
      <c r="H1018" t="s">
        <v>27</v>
      </c>
      <c r="I1018">
        <v>3</v>
      </c>
      <c r="J1018" t="s">
        <v>48</v>
      </c>
      <c r="K1018" t="s">
        <v>46</v>
      </c>
      <c r="L1018" t="s">
        <v>46</v>
      </c>
      <c r="M1018" t="s">
        <v>68</v>
      </c>
      <c r="N1018" s="15">
        <v>78.260000000000005</v>
      </c>
      <c r="O1018" s="16">
        <v>31.9</v>
      </c>
      <c r="P1018">
        <v>1</v>
      </c>
    </row>
    <row r="1019" spans="1:16" x14ac:dyDescent="0.3">
      <c r="A1019" t="s">
        <v>60</v>
      </c>
      <c r="B1019" t="s">
        <v>17</v>
      </c>
      <c r="C1019" t="s">
        <v>17</v>
      </c>
      <c r="D1019" t="s">
        <v>8</v>
      </c>
      <c r="E1019" t="s">
        <v>73</v>
      </c>
      <c r="F1019" t="s">
        <v>9</v>
      </c>
      <c r="G1019" s="15">
        <v>93.59</v>
      </c>
      <c r="H1019" t="s">
        <v>27</v>
      </c>
      <c r="I1019">
        <v>3</v>
      </c>
      <c r="J1019" t="s">
        <v>48</v>
      </c>
      <c r="K1019" t="s">
        <v>45</v>
      </c>
      <c r="L1019" t="s">
        <v>46</v>
      </c>
      <c r="M1019" t="s">
        <v>64</v>
      </c>
      <c r="N1019" s="15">
        <v>82.04</v>
      </c>
      <c r="O1019" s="16">
        <v>14.1</v>
      </c>
      <c r="P1019">
        <v>0</v>
      </c>
    </row>
    <row r="1020" spans="1:16" x14ac:dyDescent="0.3">
      <c r="A1020" t="s">
        <v>57</v>
      </c>
      <c r="B1020" t="s">
        <v>18</v>
      </c>
      <c r="C1020" t="s">
        <v>18</v>
      </c>
      <c r="D1020" t="s">
        <v>14</v>
      </c>
      <c r="E1020" t="s">
        <v>77</v>
      </c>
      <c r="F1020" t="s">
        <v>9</v>
      </c>
      <c r="G1020" s="15">
        <v>60.78</v>
      </c>
      <c r="H1020" t="s">
        <v>26</v>
      </c>
      <c r="I1020">
        <v>2</v>
      </c>
      <c r="J1020" t="s">
        <v>48</v>
      </c>
      <c r="K1020" t="s">
        <v>46</v>
      </c>
      <c r="L1020" t="s">
        <v>45</v>
      </c>
      <c r="M1020" t="s">
        <v>68</v>
      </c>
      <c r="N1020" s="15">
        <v>65.97</v>
      </c>
      <c r="O1020" s="16">
        <v>-7.9</v>
      </c>
      <c r="P1020">
        <v>0</v>
      </c>
    </row>
    <row r="1021" spans="1:16" x14ac:dyDescent="0.3">
      <c r="A1021" t="s">
        <v>60</v>
      </c>
      <c r="B1021" t="s">
        <v>21</v>
      </c>
      <c r="C1021" t="s">
        <v>62</v>
      </c>
      <c r="D1021" t="s">
        <v>11</v>
      </c>
      <c r="E1021" t="s">
        <v>79</v>
      </c>
      <c r="F1021" t="s">
        <v>9</v>
      </c>
      <c r="G1021" s="15">
        <v>32.119999999999997</v>
      </c>
      <c r="H1021" t="s">
        <v>26</v>
      </c>
      <c r="I1021">
        <v>2</v>
      </c>
      <c r="J1021" t="s">
        <v>48</v>
      </c>
      <c r="K1021" t="s">
        <v>45</v>
      </c>
      <c r="L1021" t="s">
        <v>45</v>
      </c>
      <c r="M1021" t="s">
        <v>67</v>
      </c>
      <c r="N1021" s="15">
        <v>29.14</v>
      </c>
      <c r="O1021" s="16">
        <v>10.199999999999999</v>
      </c>
      <c r="P1021">
        <v>0</v>
      </c>
    </row>
    <row r="1022" spans="1:16" x14ac:dyDescent="0.3">
      <c r="A1022" t="s">
        <v>60</v>
      </c>
      <c r="B1022" t="s">
        <v>21</v>
      </c>
      <c r="C1022" t="s">
        <v>62</v>
      </c>
      <c r="D1022" t="s">
        <v>12</v>
      </c>
      <c r="E1022" t="s">
        <v>66</v>
      </c>
      <c r="F1022" t="s">
        <v>13</v>
      </c>
      <c r="G1022" s="15">
        <v>162.19999999999999</v>
      </c>
      <c r="H1022" t="s">
        <v>26</v>
      </c>
      <c r="I1022">
        <v>2</v>
      </c>
      <c r="J1022" t="s">
        <v>48</v>
      </c>
      <c r="K1022" t="s">
        <v>45</v>
      </c>
      <c r="L1022" t="s">
        <v>45</v>
      </c>
      <c r="M1022" t="s">
        <v>72</v>
      </c>
      <c r="N1022" s="15">
        <v>168.34</v>
      </c>
      <c r="O1022" s="16">
        <v>-3.6</v>
      </c>
      <c r="P1022">
        <v>0</v>
      </c>
    </row>
    <row r="1023" spans="1:16" x14ac:dyDescent="0.3">
      <c r="A1023" t="s">
        <v>65</v>
      </c>
      <c r="B1023" t="s">
        <v>21</v>
      </c>
      <c r="C1023" t="s">
        <v>62</v>
      </c>
      <c r="D1023" t="s">
        <v>12</v>
      </c>
      <c r="E1023" t="s">
        <v>66</v>
      </c>
      <c r="F1023" t="s">
        <v>13</v>
      </c>
      <c r="G1023" s="15">
        <v>168.47</v>
      </c>
      <c r="H1023" t="s">
        <v>26</v>
      </c>
      <c r="I1023">
        <v>2</v>
      </c>
      <c r="J1023" t="s">
        <v>47</v>
      </c>
      <c r="K1023" t="s">
        <v>45</v>
      </c>
      <c r="L1023" t="s">
        <v>45</v>
      </c>
      <c r="M1023" t="s">
        <v>59</v>
      </c>
      <c r="N1023" s="15">
        <v>178.49</v>
      </c>
      <c r="O1023" s="16">
        <v>-5.6</v>
      </c>
      <c r="P1023">
        <v>0</v>
      </c>
    </row>
    <row r="1024" spans="1:16" x14ac:dyDescent="0.3">
      <c r="A1024" t="s">
        <v>65</v>
      </c>
      <c r="B1024" t="s">
        <v>19</v>
      </c>
      <c r="C1024" t="s">
        <v>19</v>
      </c>
      <c r="D1024" t="s">
        <v>10</v>
      </c>
      <c r="E1024" t="s">
        <v>58</v>
      </c>
      <c r="F1024" t="s">
        <v>9</v>
      </c>
      <c r="G1024" s="15">
        <v>174.47</v>
      </c>
      <c r="H1024" t="s">
        <v>27</v>
      </c>
      <c r="I1024">
        <v>3</v>
      </c>
      <c r="J1024" t="s">
        <v>47</v>
      </c>
      <c r="K1024" t="s">
        <v>45</v>
      </c>
      <c r="L1024" t="s">
        <v>45</v>
      </c>
      <c r="M1024" t="s">
        <v>61</v>
      </c>
      <c r="N1024" s="15">
        <v>166.29</v>
      </c>
      <c r="O1024" s="16">
        <v>4.9000000000000004</v>
      </c>
      <c r="P1024">
        <v>0</v>
      </c>
    </row>
    <row r="1025" spans="1:16" x14ac:dyDescent="0.3">
      <c r="A1025" t="s">
        <v>65</v>
      </c>
      <c r="B1025" t="s">
        <v>21</v>
      </c>
      <c r="C1025" t="s">
        <v>62</v>
      </c>
      <c r="D1025" t="s">
        <v>10</v>
      </c>
      <c r="E1025" t="s">
        <v>69</v>
      </c>
      <c r="F1025" t="s">
        <v>9</v>
      </c>
      <c r="G1025" s="15">
        <v>160.15</v>
      </c>
      <c r="H1025" t="s">
        <v>25</v>
      </c>
      <c r="I1025">
        <v>1</v>
      </c>
      <c r="J1025" t="s">
        <v>48</v>
      </c>
      <c r="K1025" t="s">
        <v>45</v>
      </c>
      <c r="L1025" t="s">
        <v>45</v>
      </c>
      <c r="M1025" t="s">
        <v>67</v>
      </c>
      <c r="N1025" s="15">
        <v>158.91999999999999</v>
      </c>
      <c r="O1025" s="16">
        <v>0.8</v>
      </c>
      <c r="P1025">
        <v>0</v>
      </c>
    </row>
    <row r="1026" spans="1:16" x14ac:dyDescent="0.3">
      <c r="A1026" t="s">
        <v>57</v>
      </c>
      <c r="B1026" t="s">
        <v>19</v>
      </c>
      <c r="C1026" t="s">
        <v>19</v>
      </c>
      <c r="D1026" t="s">
        <v>8</v>
      </c>
      <c r="E1026" t="s">
        <v>74</v>
      </c>
      <c r="F1026" t="s">
        <v>9</v>
      </c>
      <c r="G1026" s="15">
        <v>99.28</v>
      </c>
      <c r="H1026" t="s">
        <v>27</v>
      </c>
      <c r="I1026">
        <v>3</v>
      </c>
      <c r="J1026" t="s">
        <v>47</v>
      </c>
      <c r="K1026" t="s">
        <v>46</v>
      </c>
      <c r="L1026" t="s">
        <v>45</v>
      </c>
      <c r="M1026" t="s">
        <v>67</v>
      </c>
      <c r="N1026" s="15">
        <v>83.41</v>
      </c>
      <c r="O1026" s="16">
        <v>19</v>
      </c>
      <c r="P1026">
        <v>1</v>
      </c>
    </row>
    <row r="1027" spans="1:16" x14ac:dyDescent="0.3">
      <c r="A1027" t="s">
        <v>57</v>
      </c>
      <c r="B1027" t="s">
        <v>17</v>
      </c>
      <c r="C1027" t="s">
        <v>17</v>
      </c>
      <c r="D1027" t="s">
        <v>10</v>
      </c>
      <c r="E1027" t="s">
        <v>69</v>
      </c>
      <c r="F1027" t="s">
        <v>9</v>
      </c>
      <c r="G1027" s="15">
        <v>175.7</v>
      </c>
      <c r="H1027" t="s">
        <v>25</v>
      </c>
      <c r="I1027">
        <v>1</v>
      </c>
      <c r="J1027" t="s">
        <v>47</v>
      </c>
      <c r="K1027" t="s">
        <v>46</v>
      </c>
      <c r="L1027" t="s">
        <v>45</v>
      </c>
      <c r="M1027" t="s">
        <v>78</v>
      </c>
      <c r="N1027" s="15">
        <v>150.38999999999999</v>
      </c>
      <c r="O1027" s="16">
        <v>16.8</v>
      </c>
      <c r="P1027">
        <v>1</v>
      </c>
    </row>
    <row r="1028" spans="1:16" x14ac:dyDescent="0.3">
      <c r="A1028" t="s">
        <v>57</v>
      </c>
      <c r="B1028" t="s">
        <v>18</v>
      </c>
      <c r="C1028" t="s">
        <v>18</v>
      </c>
      <c r="D1028" t="s">
        <v>12</v>
      </c>
      <c r="E1028" t="s">
        <v>66</v>
      </c>
      <c r="F1028" t="s">
        <v>13</v>
      </c>
      <c r="G1028" s="15">
        <v>156.16</v>
      </c>
      <c r="H1028" t="s">
        <v>26</v>
      </c>
      <c r="I1028">
        <v>2</v>
      </c>
      <c r="J1028" t="s">
        <v>48</v>
      </c>
      <c r="K1028" t="s">
        <v>46</v>
      </c>
      <c r="L1028" t="s">
        <v>45</v>
      </c>
      <c r="M1028" t="s">
        <v>68</v>
      </c>
      <c r="N1028" s="15">
        <v>170.56</v>
      </c>
      <c r="O1028" s="16">
        <v>-8.4</v>
      </c>
      <c r="P1028">
        <v>0</v>
      </c>
    </row>
    <row r="1029" spans="1:16" x14ac:dyDescent="0.3">
      <c r="A1029" t="s">
        <v>65</v>
      </c>
      <c r="B1029" t="s">
        <v>18</v>
      </c>
      <c r="C1029" t="s">
        <v>18</v>
      </c>
      <c r="D1029" t="s">
        <v>8</v>
      </c>
      <c r="E1029" t="s">
        <v>73</v>
      </c>
      <c r="F1029" t="s">
        <v>9</v>
      </c>
      <c r="G1029" s="15">
        <v>115.9</v>
      </c>
      <c r="H1029" t="s">
        <v>26</v>
      </c>
      <c r="I1029">
        <v>2</v>
      </c>
      <c r="J1029" t="s">
        <v>47</v>
      </c>
      <c r="K1029" t="s">
        <v>45</v>
      </c>
      <c r="L1029" t="s">
        <v>45</v>
      </c>
      <c r="M1029" t="s">
        <v>61</v>
      </c>
      <c r="N1029" s="15">
        <v>88.05</v>
      </c>
      <c r="O1029" s="16">
        <v>31.6</v>
      </c>
      <c r="P1029">
        <v>1</v>
      </c>
    </row>
    <row r="1030" spans="1:16" x14ac:dyDescent="0.3">
      <c r="A1030" t="s">
        <v>65</v>
      </c>
      <c r="B1030" t="s">
        <v>19</v>
      </c>
      <c r="C1030" t="s">
        <v>19</v>
      </c>
      <c r="D1030" t="s">
        <v>10</v>
      </c>
      <c r="E1030" t="s">
        <v>58</v>
      </c>
      <c r="F1030" t="s">
        <v>9</v>
      </c>
      <c r="G1030" s="15">
        <v>166.2</v>
      </c>
      <c r="H1030" t="s">
        <v>26</v>
      </c>
      <c r="I1030">
        <v>2</v>
      </c>
      <c r="J1030" t="s">
        <v>48</v>
      </c>
      <c r="K1030" t="s">
        <v>45</v>
      </c>
      <c r="L1030" t="s">
        <v>46</v>
      </c>
      <c r="M1030" t="s">
        <v>78</v>
      </c>
      <c r="N1030" s="15">
        <v>166.29</v>
      </c>
      <c r="O1030" s="16">
        <v>-0.1</v>
      </c>
      <c r="P1030">
        <v>0</v>
      </c>
    </row>
    <row r="1031" spans="1:16" x14ac:dyDescent="0.3">
      <c r="A1031" t="s">
        <v>60</v>
      </c>
      <c r="B1031" t="s">
        <v>17</v>
      </c>
      <c r="C1031" t="s">
        <v>17</v>
      </c>
      <c r="D1031" t="s">
        <v>10</v>
      </c>
      <c r="E1031" t="s">
        <v>58</v>
      </c>
      <c r="F1031" t="s">
        <v>9</v>
      </c>
      <c r="G1031" s="15">
        <v>178.59</v>
      </c>
      <c r="H1031" t="s">
        <v>26</v>
      </c>
      <c r="I1031">
        <v>2</v>
      </c>
      <c r="J1031" t="s">
        <v>48</v>
      </c>
      <c r="K1031" t="s">
        <v>45</v>
      </c>
      <c r="L1031" t="s">
        <v>45</v>
      </c>
      <c r="M1031" t="s">
        <v>72</v>
      </c>
      <c r="N1031" s="15">
        <v>152.03</v>
      </c>
      <c r="O1031" s="16">
        <v>17.5</v>
      </c>
      <c r="P1031">
        <v>1</v>
      </c>
    </row>
    <row r="1032" spans="1:16" x14ac:dyDescent="0.3">
      <c r="A1032" t="s">
        <v>65</v>
      </c>
      <c r="B1032" t="s">
        <v>21</v>
      </c>
      <c r="C1032" t="s">
        <v>62</v>
      </c>
      <c r="D1032" t="s">
        <v>11</v>
      </c>
      <c r="E1032" t="s">
        <v>79</v>
      </c>
      <c r="F1032" t="s">
        <v>9</v>
      </c>
      <c r="G1032" s="15">
        <v>34.5</v>
      </c>
      <c r="H1032" t="s">
        <v>26</v>
      </c>
      <c r="I1032">
        <v>2</v>
      </c>
      <c r="J1032" t="s">
        <v>47</v>
      </c>
      <c r="K1032" t="s">
        <v>45</v>
      </c>
      <c r="L1032" t="s">
        <v>45</v>
      </c>
      <c r="M1032" t="s">
        <v>68</v>
      </c>
      <c r="N1032" s="15">
        <v>33.39</v>
      </c>
      <c r="O1032" s="16">
        <v>3.3</v>
      </c>
      <c r="P1032">
        <v>0</v>
      </c>
    </row>
    <row r="1033" spans="1:16" x14ac:dyDescent="0.3">
      <c r="A1033" t="s">
        <v>57</v>
      </c>
      <c r="B1033" t="s">
        <v>21</v>
      </c>
      <c r="C1033" t="s">
        <v>62</v>
      </c>
      <c r="D1033" t="s">
        <v>10</v>
      </c>
      <c r="E1033" t="s">
        <v>69</v>
      </c>
      <c r="F1033" t="s">
        <v>9</v>
      </c>
      <c r="G1033" s="15">
        <v>155.91</v>
      </c>
      <c r="H1033" t="s">
        <v>26</v>
      </c>
      <c r="I1033">
        <v>2</v>
      </c>
      <c r="J1033" t="s">
        <v>48</v>
      </c>
      <c r="K1033" t="s">
        <v>46</v>
      </c>
      <c r="L1033" t="s">
        <v>45</v>
      </c>
      <c r="M1033" t="s">
        <v>72</v>
      </c>
      <c r="N1033" s="15">
        <v>150.38999999999999</v>
      </c>
      <c r="O1033" s="16">
        <v>3.7</v>
      </c>
      <c r="P1033">
        <v>0</v>
      </c>
    </row>
    <row r="1034" spans="1:16" x14ac:dyDescent="0.3">
      <c r="A1034" t="s">
        <v>57</v>
      </c>
      <c r="B1034" t="s">
        <v>17</v>
      </c>
      <c r="C1034" t="s">
        <v>17</v>
      </c>
      <c r="D1034" t="s">
        <v>11</v>
      </c>
      <c r="E1034" t="s">
        <v>70</v>
      </c>
      <c r="F1034" t="s">
        <v>9</v>
      </c>
      <c r="G1034" s="15">
        <v>33.270000000000003</v>
      </c>
      <c r="H1034" t="s">
        <v>25</v>
      </c>
      <c r="I1034">
        <v>1</v>
      </c>
      <c r="J1034" t="s">
        <v>48</v>
      </c>
      <c r="K1034" t="s">
        <v>45</v>
      </c>
      <c r="L1034" t="s">
        <v>45</v>
      </c>
      <c r="M1034" t="s">
        <v>64</v>
      </c>
      <c r="N1034" s="15">
        <v>30.5</v>
      </c>
      <c r="O1034" s="16">
        <v>9.1</v>
      </c>
      <c r="P1034">
        <v>0</v>
      </c>
    </row>
    <row r="1035" spans="1:16" x14ac:dyDescent="0.3">
      <c r="A1035" t="s">
        <v>60</v>
      </c>
      <c r="B1035" t="s">
        <v>19</v>
      </c>
      <c r="C1035" t="s">
        <v>19</v>
      </c>
      <c r="D1035" t="s">
        <v>11</v>
      </c>
      <c r="E1035" t="s">
        <v>79</v>
      </c>
      <c r="F1035" t="s">
        <v>9</v>
      </c>
      <c r="G1035" s="15">
        <v>27.89</v>
      </c>
      <c r="H1035" t="s">
        <v>27</v>
      </c>
      <c r="I1035">
        <v>3</v>
      </c>
      <c r="J1035" t="s">
        <v>48</v>
      </c>
      <c r="K1035" t="s">
        <v>46</v>
      </c>
      <c r="L1035" t="s">
        <v>45</v>
      </c>
      <c r="M1035" t="s">
        <v>61</v>
      </c>
      <c r="N1035" s="15">
        <v>29.14</v>
      </c>
      <c r="O1035" s="16">
        <v>-4.3</v>
      </c>
      <c r="P1035">
        <v>0</v>
      </c>
    </row>
    <row r="1036" spans="1:16" x14ac:dyDescent="0.3">
      <c r="A1036" t="s">
        <v>65</v>
      </c>
      <c r="B1036" t="s">
        <v>21</v>
      </c>
      <c r="C1036" t="s">
        <v>62</v>
      </c>
      <c r="D1036" t="s">
        <v>15</v>
      </c>
      <c r="E1036" t="s">
        <v>76</v>
      </c>
      <c r="F1036" t="s">
        <v>9</v>
      </c>
      <c r="G1036" s="15">
        <v>115.79</v>
      </c>
      <c r="H1036" t="s">
        <v>26</v>
      </c>
      <c r="I1036">
        <v>2</v>
      </c>
      <c r="J1036" t="s">
        <v>47</v>
      </c>
      <c r="K1036" t="s">
        <v>45</v>
      </c>
      <c r="L1036" t="s">
        <v>45</v>
      </c>
      <c r="M1036" t="s">
        <v>64</v>
      </c>
      <c r="N1036" s="15">
        <v>126.51</v>
      </c>
      <c r="O1036" s="16">
        <v>-8.5</v>
      </c>
      <c r="P1036">
        <v>0</v>
      </c>
    </row>
    <row r="1037" spans="1:16" x14ac:dyDescent="0.3">
      <c r="A1037" t="s">
        <v>57</v>
      </c>
      <c r="B1037" t="s">
        <v>17</v>
      </c>
      <c r="C1037" t="s">
        <v>17</v>
      </c>
      <c r="D1037" t="s">
        <v>12</v>
      </c>
      <c r="E1037" t="s">
        <v>80</v>
      </c>
      <c r="F1037" t="s">
        <v>13</v>
      </c>
      <c r="G1037" s="15">
        <v>161.19</v>
      </c>
      <c r="H1037" t="s">
        <v>26</v>
      </c>
      <c r="I1037">
        <v>2</v>
      </c>
      <c r="J1037" t="s">
        <v>48</v>
      </c>
      <c r="K1037" t="s">
        <v>45</v>
      </c>
      <c r="L1037" t="s">
        <v>46</v>
      </c>
      <c r="M1037" t="s">
        <v>61</v>
      </c>
      <c r="N1037" s="15">
        <v>162.72999999999999</v>
      </c>
      <c r="O1037" s="16">
        <v>-0.9</v>
      </c>
      <c r="P1037">
        <v>0</v>
      </c>
    </row>
    <row r="1038" spans="1:16" x14ac:dyDescent="0.3">
      <c r="A1038" t="s">
        <v>60</v>
      </c>
      <c r="B1038" t="s">
        <v>19</v>
      </c>
      <c r="C1038" t="s">
        <v>19</v>
      </c>
      <c r="D1038" t="s">
        <v>11</v>
      </c>
      <c r="E1038" t="s">
        <v>70</v>
      </c>
      <c r="F1038" t="s">
        <v>9</v>
      </c>
      <c r="G1038" s="15">
        <v>25.46</v>
      </c>
      <c r="H1038" t="s">
        <v>26</v>
      </c>
      <c r="I1038">
        <v>2</v>
      </c>
      <c r="J1038" t="s">
        <v>48</v>
      </c>
      <c r="K1038" t="s">
        <v>46</v>
      </c>
      <c r="L1038" t="s">
        <v>45</v>
      </c>
      <c r="M1038" t="s">
        <v>61</v>
      </c>
      <c r="N1038" s="15">
        <v>31.4</v>
      </c>
      <c r="O1038" s="16">
        <v>-18.899999999999999</v>
      </c>
      <c r="P1038">
        <v>0</v>
      </c>
    </row>
    <row r="1039" spans="1:16" x14ac:dyDescent="0.3">
      <c r="A1039" t="s">
        <v>60</v>
      </c>
      <c r="B1039" t="s">
        <v>21</v>
      </c>
      <c r="C1039" t="s">
        <v>62</v>
      </c>
      <c r="D1039" t="s">
        <v>10</v>
      </c>
      <c r="E1039" t="s">
        <v>58</v>
      </c>
      <c r="F1039" t="s">
        <v>9</v>
      </c>
      <c r="G1039" s="15">
        <v>118.86</v>
      </c>
      <c r="H1039" t="s">
        <v>26</v>
      </c>
      <c r="I1039">
        <v>2</v>
      </c>
      <c r="J1039" t="s">
        <v>48</v>
      </c>
      <c r="K1039" t="s">
        <v>46</v>
      </c>
      <c r="L1039" t="s">
        <v>45</v>
      </c>
      <c r="M1039" t="s">
        <v>67</v>
      </c>
      <c r="N1039" s="15">
        <v>152.03</v>
      </c>
      <c r="O1039" s="16">
        <v>-21.8</v>
      </c>
      <c r="P1039">
        <v>0</v>
      </c>
    </row>
    <row r="1040" spans="1:16" x14ac:dyDescent="0.3">
      <c r="A1040" t="s">
        <v>65</v>
      </c>
      <c r="B1040" t="s">
        <v>18</v>
      </c>
      <c r="C1040" t="s">
        <v>18</v>
      </c>
      <c r="D1040" t="s">
        <v>10</v>
      </c>
      <c r="E1040" t="s">
        <v>58</v>
      </c>
      <c r="F1040" t="s">
        <v>9</v>
      </c>
      <c r="G1040" s="15">
        <v>179.94</v>
      </c>
      <c r="H1040" t="s">
        <v>26</v>
      </c>
      <c r="I1040">
        <v>2</v>
      </c>
      <c r="J1040" t="s">
        <v>44</v>
      </c>
      <c r="K1040" t="s">
        <v>46</v>
      </c>
      <c r="L1040" t="s">
        <v>46</v>
      </c>
      <c r="M1040" t="s">
        <v>67</v>
      </c>
      <c r="N1040" s="15">
        <v>166.29</v>
      </c>
      <c r="O1040" s="16">
        <v>8.1999999999999993</v>
      </c>
      <c r="P1040">
        <v>0</v>
      </c>
    </row>
    <row r="1041" spans="1:16" x14ac:dyDescent="0.3">
      <c r="A1041" t="s">
        <v>65</v>
      </c>
      <c r="B1041" t="s">
        <v>22</v>
      </c>
      <c r="C1041" t="s">
        <v>22</v>
      </c>
      <c r="D1041" t="s">
        <v>10</v>
      </c>
      <c r="E1041" t="s">
        <v>69</v>
      </c>
      <c r="F1041" t="s">
        <v>9</v>
      </c>
      <c r="G1041" s="15">
        <v>172.83</v>
      </c>
      <c r="H1041" t="s">
        <v>26</v>
      </c>
      <c r="I1041">
        <v>2</v>
      </c>
      <c r="J1041" t="s">
        <v>47</v>
      </c>
      <c r="K1041" t="s">
        <v>45</v>
      </c>
      <c r="L1041" t="s">
        <v>45</v>
      </c>
      <c r="M1041" t="s">
        <v>68</v>
      </c>
      <c r="N1041" s="15">
        <v>158.91999999999999</v>
      </c>
      <c r="O1041" s="16">
        <v>8.8000000000000007</v>
      </c>
      <c r="P1041">
        <v>0</v>
      </c>
    </row>
    <row r="1042" spans="1:16" x14ac:dyDescent="0.3">
      <c r="A1042" t="s">
        <v>60</v>
      </c>
      <c r="B1042" t="s">
        <v>18</v>
      </c>
      <c r="C1042" t="s">
        <v>18</v>
      </c>
      <c r="D1042" t="s">
        <v>11</v>
      </c>
      <c r="E1042" t="s">
        <v>79</v>
      </c>
      <c r="F1042" t="s">
        <v>9</v>
      </c>
      <c r="G1042" s="15">
        <v>27.27</v>
      </c>
      <c r="H1042" t="s">
        <v>26</v>
      </c>
      <c r="I1042">
        <v>2</v>
      </c>
      <c r="J1042" t="s">
        <v>48</v>
      </c>
      <c r="K1042" t="s">
        <v>46</v>
      </c>
      <c r="L1042" t="s">
        <v>45</v>
      </c>
      <c r="M1042" t="s">
        <v>61</v>
      </c>
      <c r="N1042" s="15">
        <v>29.14</v>
      </c>
      <c r="O1042" s="16">
        <v>-6.4</v>
      </c>
      <c r="P1042">
        <v>0</v>
      </c>
    </row>
    <row r="1043" spans="1:16" x14ac:dyDescent="0.3">
      <c r="A1043" t="s">
        <v>65</v>
      </c>
      <c r="B1043" t="s">
        <v>19</v>
      </c>
      <c r="C1043" t="s">
        <v>19</v>
      </c>
      <c r="D1043" t="s">
        <v>11</v>
      </c>
      <c r="E1043" t="s">
        <v>70</v>
      </c>
      <c r="F1043" t="s">
        <v>9</v>
      </c>
      <c r="G1043" s="15">
        <v>37.83</v>
      </c>
      <c r="H1043" t="s">
        <v>27</v>
      </c>
      <c r="I1043">
        <v>3</v>
      </c>
      <c r="J1043" t="s">
        <v>47</v>
      </c>
      <c r="K1043" t="s">
        <v>45</v>
      </c>
      <c r="L1043" t="s">
        <v>45</v>
      </c>
      <c r="M1043" t="s">
        <v>78</v>
      </c>
      <c r="N1043" s="15">
        <v>32.630000000000003</v>
      </c>
      <c r="O1043" s="16">
        <v>15.9</v>
      </c>
      <c r="P1043">
        <v>1</v>
      </c>
    </row>
    <row r="1044" spans="1:16" x14ac:dyDescent="0.3">
      <c r="A1044" t="s">
        <v>65</v>
      </c>
      <c r="B1044" t="s">
        <v>22</v>
      </c>
      <c r="C1044" t="s">
        <v>22</v>
      </c>
      <c r="D1044" t="s">
        <v>12</v>
      </c>
      <c r="E1044" t="s">
        <v>80</v>
      </c>
      <c r="F1044" t="s">
        <v>13</v>
      </c>
      <c r="G1044" s="15">
        <v>129.26</v>
      </c>
      <c r="H1044" t="s">
        <v>27</v>
      </c>
      <c r="I1044">
        <v>3</v>
      </c>
      <c r="J1044" t="s">
        <v>48</v>
      </c>
      <c r="K1044" t="s">
        <v>45</v>
      </c>
      <c r="L1044" t="s">
        <v>45</v>
      </c>
      <c r="M1044" t="s">
        <v>78</v>
      </c>
      <c r="N1044" s="15">
        <v>176.57</v>
      </c>
      <c r="O1044" s="16">
        <v>-26.8</v>
      </c>
      <c r="P1044">
        <v>0</v>
      </c>
    </row>
    <row r="1045" spans="1:16" x14ac:dyDescent="0.3">
      <c r="A1045" t="s">
        <v>65</v>
      </c>
      <c r="B1045" t="s">
        <v>22</v>
      </c>
      <c r="C1045" t="s">
        <v>22</v>
      </c>
      <c r="D1045" t="s">
        <v>8</v>
      </c>
      <c r="E1045" t="s">
        <v>73</v>
      </c>
      <c r="F1045" t="s">
        <v>9</v>
      </c>
      <c r="G1045" s="15">
        <v>63.53</v>
      </c>
      <c r="H1045" t="s">
        <v>26</v>
      </c>
      <c r="I1045">
        <v>2</v>
      </c>
      <c r="J1045" t="s">
        <v>48</v>
      </c>
      <c r="K1045" t="s">
        <v>46</v>
      </c>
      <c r="L1045" t="s">
        <v>45</v>
      </c>
      <c r="M1045" t="s">
        <v>78</v>
      </c>
      <c r="N1045" s="15">
        <v>88.05</v>
      </c>
      <c r="O1045" s="16">
        <v>-27.8</v>
      </c>
      <c r="P1045">
        <v>0</v>
      </c>
    </row>
    <row r="1046" spans="1:16" x14ac:dyDescent="0.3">
      <c r="A1046" t="s">
        <v>60</v>
      </c>
      <c r="B1046" t="s">
        <v>17</v>
      </c>
      <c r="C1046" t="s">
        <v>17</v>
      </c>
      <c r="D1046" t="s">
        <v>8</v>
      </c>
      <c r="E1046" t="s">
        <v>73</v>
      </c>
      <c r="F1046" t="s">
        <v>9</v>
      </c>
      <c r="G1046" s="15">
        <v>74.930000000000007</v>
      </c>
      <c r="H1046" t="s">
        <v>26</v>
      </c>
      <c r="I1046">
        <v>2</v>
      </c>
      <c r="J1046" t="s">
        <v>48</v>
      </c>
      <c r="K1046" t="s">
        <v>45</v>
      </c>
      <c r="L1046" t="s">
        <v>45</v>
      </c>
      <c r="M1046" t="s">
        <v>78</v>
      </c>
      <c r="N1046" s="15">
        <v>82.04</v>
      </c>
      <c r="O1046" s="16">
        <v>-8.6999999999999993</v>
      </c>
      <c r="P1046">
        <v>0</v>
      </c>
    </row>
    <row r="1047" spans="1:16" x14ac:dyDescent="0.3">
      <c r="A1047" t="s">
        <v>65</v>
      </c>
      <c r="B1047" t="s">
        <v>18</v>
      </c>
      <c r="C1047" t="s">
        <v>18</v>
      </c>
      <c r="D1047" t="s">
        <v>14</v>
      </c>
      <c r="E1047" t="s">
        <v>63</v>
      </c>
      <c r="F1047" t="s">
        <v>9</v>
      </c>
      <c r="G1047" s="15">
        <v>66.209999999999994</v>
      </c>
      <c r="H1047" t="s">
        <v>27</v>
      </c>
      <c r="I1047">
        <v>3</v>
      </c>
      <c r="J1047" t="s">
        <v>47</v>
      </c>
      <c r="K1047" t="s">
        <v>45</v>
      </c>
      <c r="L1047" t="s">
        <v>45</v>
      </c>
      <c r="M1047" t="s">
        <v>61</v>
      </c>
      <c r="N1047" s="15">
        <v>68.150000000000006</v>
      </c>
      <c r="O1047" s="16">
        <v>-2.8</v>
      </c>
      <c r="P1047">
        <v>0</v>
      </c>
    </row>
    <row r="1048" spans="1:16" x14ac:dyDescent="0.3">
      <c r="A1048" t="s">
        <v>60</v>
      </c>
      <c r="B1048" t="s">
        <v>20</v>
      </c>
      <c r="C1048" t="s">
        <v>20</v>
      </c>
      <c r="D1048" t="s">
        <v>10</v>
      </c>
      <c r="E1048" t="s">
        <v>69</v>
      </c>
      <c r="F1048" t="s">
        <v>9</v>
      </c>
      <c r="G1048" s="15">
        <v>183.03</v>
      </c>
      <c r="H1048" t="s">
        <v>26</v>
      </c>
      <c r="I1048">
        <v>2</v>
      </c>
      <c r="J1048" t="s">
        <v>48</v>
      </c>
      <c r="K1048" t="s">
        <v>45</v>
      </c>
      <c r="L1048" t="s">
        <v>45</v>
      </c>
      <c r="M1048" t="s">
        <v>67</v>
      </c>
      <c r="N1048" s="15">
        <v>158.6</v>
      </c>
      <c r="O1048" s="16">
        <v>15.4</v>
      </c>
      <c r="P1048">
        <v>1</v>
      </c>
    </row>
    <row r="1049" spans="1:16" x14ac:dyDescent="0.3">
      <c r="A1049" t="s">
        <v>57</v>
      </c>
      <c r="B1049" t="s">
        <v>21</v>
      </c>
      <c r="C1049" t="s">
        <v>62</v>
      </c>
      <c r="D1049" t="s">
        <v>12</v>
      </c>
      <c r="E1049" t="s">
        <v>66</v>
      </c>
      <c r="F1049" t="s">
        <v>13</v>
      </c>
      <c r="G1049" s="15">
        <v>154.69</v>
      </c>
      <c r="H1049" t="s">
        <v>27</v>
      </c>
      <c r="I1049">
        <v>3</v>
      </c>
      <c r="J1049" t="s">
        <v>48</v>
      </c>
      <c r="K1049" t="s">
        <v>45</v>
      </c>
      <c r="L1049" t="s">
        <v>45</v>
      </c>
      <c r="M1049" t="s">
        <v>67</v>
      </c>
      <c r="N1049" s="15">
        <v>170.56</v>
      </c>
      <c r="O1049" s="16">
        <v>-9.3000000000000007</v>
      </c>
      <c r="P1049">
        <v>0</v>
      </c>
    </row>
    <row r="1050" spans="1:16" x14ac:dyDescent="0.3">
      <c r="A1050" t="s">
        <v>60</v>
      </c>
      <c r="B1050" t="s">
        <v>17</v>
      </c>
      <c r="C1050" t="s">
        <v>17</v>
      </c>
      <c r="D1050" t="s">
        <v>10</v>
      </c>
      <c r="E1050" t="s">
        <v>69</v>
      </c>
      <c r="F1050" t="s">
        <v>9</v>
      </c>
      <c r="G1050" s="15">
        <v>139.53</v>
      </c>
      <c r="H1050" t="s">
        <v>26</v>
      </c>
      <c r="I1050">
        <v>2</v>
      </c>
      <c r="J1050" t="s">
        <v>48</v>
      </c>
      <c r="K1050" t="s">
        <v>45</v>
      </c>
      <c r="L1050" t="s">
        <v>45</v>
      </c>
      <c r="M1050" t="s">
        <v>78</v>
      </c>
      <c r="N1050" s="15">
        <v>158.6</v>
      </c>
      <c r="O1050" s="16">
        <v>-12</v>
      </c>
      <c r="P1050">
        <v>0</v>
      </c>
    </row>
    <row r="1051" spans="1:16" x14ac:dyDescent="0.3">
      <c r="A1051" t="s">
        <v>65</v>
      </c>
      <c r="B1051" t="s">
        <v>17</v>
      </c>
      <c r="C1051" t="s">
        <v>17</v>
      </c>
      <c r="D1051" t="s">
        <v>14</v>
      </c>
      <c r="E1051" t="s">
        <v>77</v>
      </c>
      <c r="F1051" t="s">
        <v>9</v>
      </c>
      <c r="G1051" s="15">
        <v>60.67</v>
      </c>
      <c r="H1051" t="s">
        <v>25</v>
      </c>
      <c r="I1051">
        <v>1</v>
      </c>
      <c r="J1051" t="s">
        <v>47</v>
      </c>
      <c r="K1051" t="s">
        <v>46</v>
      </c>
      <c r="L1051" t="s">
        <v>45</v>
      </c>
      <c r="M1051" t="s">
        <v>59</v>
      </c>
      <c r="N1051" s="15">
        <v>70.66</v>
      </c>
      <c r="O1051" s="16">
        <v>-14.1</v>
      </c>
      <c r="P1051">
        <v>0</v>
      </c>
    </row>
    <row r="1052" spans="1:16" x14ac:dyDescent="0.3">
      <c r="A1052" t="s">
        <v>65</v>
      </c>
      <c r="B1052" t="s">
        <v>21</v>
      </c>
      <c r="C1052" t="s">
        <v>62</v>
      </c>
      <c r="D1052" t="s">
        <v>11</v>
      </c>
      <c r="E1052" t="s">
        <v>79</v>
      </c>
      <c r="F1052" t="s">
        <v>9</v>
      </c>
      <c r="G1052" s="15">
        <v>32.6</v>
      </c>
      <c r="H1052" t="s">
        <v>27</v>
      </c>
      <c r="I1052">
        <v>3</v>
      </c>
      <c r="J1052" t="s">
        <v>47</v>
      </c>
      <c r="K1052" t="s">
        <v>46</v>
      </c>
      <c r="L1052" t="s">
        <v>45</v>
      </c>
      <c r="M1052" t="s">
        <v>64</v>
      </c>
      <c r="N1052" s="15">
        <v>33.39</v>
      </c>
      <c r="O1052" s="16">
        <v>-2.4</v>
      </c>
      <c r="P1052">
        <v>0</v>
      </c>
    </row>
    <row r="1053" spans="1:16" x14ac:dyDescent="0.3">
      <c r="A1053" t="s">
        <v>57</v>
      </c>
      <c r="B1053" t="s">
        <v>19</v>
      </c>
      <c r="C1053" t="s">
        <v>19</v>
      </c>
      <c r="D1053" t="s">
        <v>10</v>
      </c>
      <c r="E1053" t="s">
        <v>58</v>
      </c>
      <c r="F1053" t="s">
        <v>9</v>
      </c>
      <c r="G1053" s="15">
        <v>127.9</v>
      </c>
      <c r="H1053" t="s">
        <v>27</v>
      </c>
      <c r="I1053">
        <v>3</v>
      </c>
      <c r="J1053" t="s">
        <v>47</v>
      </c>
      <c r="K1053" t="s">
        <v>46</v>
      </c>
      <c r="L1053" t="s">
        <v>45</v>
      </c>
      <c r="M1053" t="s">
        <v>78</v>
      </c>
      <c r="N1053" s="15">
        <v>151.19</v>
      </c>
      <c r="O1053" s="16">
        <v>-15.4</v>
      </c>
      <c r="P1053">
        <v>0</v>
      </c>
    </row>
    <row r="1054" spans="1:16" x14ac:dyDescent="0.3">
      <c r="A1054" t="s">
        <v>65</v>
      </c>
      <c r="B1054" t="s">
        <v>21</v>
      </c>
      <c r="C1054" t="s">
        <v>62</v>
      </c>
      <c r="D1054" t="s">
        <v>15</v>
      </c>
      <c r="E1054" t="s">
        <v>76</v>
      </c>
      <c r="F1054" t="s">
        <v>9</v>
      </c>
      <c r="G1054" s="15">
        <v>121.13</v>
      </c>
      <c r="H1054" t="s">
        <v>26</v>
      </c>
      <c r="I1054">
        <v>2</v>
      </c>
      <c r="J1054" t="s">
        <v>47</v>
      </c>
      <c r="K1054" t="s">
        <v>46</v>
      </c>
      <c r="L1054" t="s">
        <v>45</v>
      </c>
      <c r="M1054" t="s">
        <v>59</v>
      </c>
      <c r="N1054" s="15">
        <v>126.51</v>
      </c>
      <c r="O1054" s="16">
        <v>-4.3</v>
      </c>
      <c r="P1054">
        <v>0</v>
      </c>
    </row>
    <row r="1055" spans="1:16" x14ac:dyDescent="0.3">
      <c r="A1055" t="s">
        <v>60</v>
      </c>
      <c r="B1055" t="s">
        <v>17</v>
      </c>
      <c r="C1055" t="s">
        <v>17</v>
      </c>
      <c r="D1055" t="s">
        <v>14</v>
      </c>
      <c r="E1055" t="s">
        <v>63</v>
      </c>
      <c r="F1055" t="s">
        <v>9</v>
      </c>
      <c r="G1055" s="15">
        <v>60.67</v>
      </c>
      <c r="H1055" t="s">
        <v>27</v>
      </c>
      <c r="I1055">
        <v>3</v>
      </c>
      <c r="J1055" t="s">
        <v>48</v>
      </c>
      <c r="K1055" t="s">
        <v>45</v>
      </c>
      <c r="L1055" t="s">
        <v>45</v>
      </c>
      <c r="M1055" t="s">
        <v>78</v>
      </c>
      <c r="N1055" s="15">
        <v>66.680000000000007</v>
      </c>
      <c r="O1055" s="16">
        <v>-9</v>
      </c>
      <c r="P1055">
        <v>0</v>
      </c>
    </row>
    <row r="1056" spans="1:16" x14ac:dyDescent="0.3">
      <c r="A1056" t="s">
        <v>65</v>
      </c>
      <c r="B1056" t="s">
        <v>21</v>
      </c>
      <c r="C1056" t="s">
        <v>62</v>
      </c>
      <c r="D1056" t="s">
        <v>11</v>
      </c>
      <c r="E1056" t="s">
        <v>70</v>
      </c>
      <c r="F1056" t="s">
        <v>9</v>
      </c>
      <c r="G1056" s="15">
        <v>32.47</v>
      </c>
      <c r="H1056" t="s">
        <v>25</v>
      </c>
      <c r="I1056">
        <v>1</v>
      </c>
      <c r="J1056" t="s">
        <v>47</v>
      </c>
      <c r="K1056" t="s">
        <v>46</v>
      </c>
      <c r="L1056" t="s">
        <v>45</v>
      </c>
      <c r="M1056" t="s">
        <v>72</v>
      </c>
      <c r="N1056" s="15">
        <v>32.630000000000003</v>
      </c>
      <c r="O1056" s="16">
        <v>-0.5</v>
      </c>
      <c r="P1056">
        <v>0</v>
      </c>
    </row>
    <row r="1057" spans="1:16" x14ac:dyDescent="0.3">
      <c r="A1057" t="s">
        <v>65</v>
      </c>
      <c r="B1057" t="s">
        <v>21</v>
      </c>
      <c r="C1057" t="s">
        <v>62</v>
      </c>
      <c r="D1057" t="s">
        <v>8</v>
      </c>
      <c r="E1057" t="s">
        <v>73</v>
      </c>
      <c r="F1057" t="s">
        <v>9</v>
      </c>
      <c r="G1057" s="15">
        <v>85.94</v>
      </c>
      <c r="H1057" t="s">
        <v>25</v>
      </c>
      <c r="I1057">
        <v>1</v>
      </c>
      <c r="J1057" t="s">
        <v>47</v>
      </c>
      <c r="K1057" t="s">
        <v>45</v>
      </c>
      <c r="L1057" t="s">
        <v>45</v>
      </c>
      <c r="M1057" t="s">
        <v>67</v>
      </c>
      <c r="N1057" s="15">
        <v>88.05</v>
      </c>
      <c r="O1057" s="16">
        <v>-2.4</v>
      </c>
      <c r="P1057">
        <v>0</v>
      </c>
    </row>
    <row r="1058" spans="1:16" x14ac:dyDescent="0.3">
      <c r="A1058" t="s">
        <v>57</v>
      </c>
      <c r="B1058" t="s">
        <v>18</v>
      </c>
      <c r="C1058" t="s">
        <v>18</v>
      </c>
      <c r="D1058" t="s">
        <v>8</v>
      </c>
      <c r="E1058" t="s">
        <v>74</v>
      </c>
      <c r="F1058" t="s">
        <v>9</v>
      </c>
      <c r="G1058" s="15">
        <v>80.02</v>
      </c>
      <c r="H1058" t="s">
        <v>26</v>
      </c>
      <c r="I1058">
        <v>2</v>
      </c>
      <c r="J1058" t="s">
        <v>48</v>
      </c>
      <c r="K1058" t="s">
        <v>46</v>
      </c>
      <c r="L1058" t="s">
        <v>46</v>
      </c>
      <c r="M1058" t="s">
        <v>61</v>
      </c>
      <c r="N1058" s="15">
        <v>83.41</v>
      </c>
      <c r="O1058" s="16">
        <v>-4.0999999999999996</v>
      </c>
      <c r="P1058">
        <v>0</v>
      </c>
    </row>
    <row r="1059" spans="1:16" x14ac:dyDescent="0.3">
      <c r="A1059" t="s">
        <v>60</v>
      </c>
      <c r="B1059" t="s">
        <v>19</v>
      </c>
      <c r="C1059" t="s">
        <v>19</v>
      </c>
      <c r="D1059" t="s">
        <v>11</v>
      </c>
      <c r="E1059" t="s">
        <v>70</v>
      </c>
      <c r="F1059" t="s">
        <v>9</v>
      </c>
      <c r="G1059" s="15">
        <v>32.369999999999997</v>
      </c>
      <c r="H1059" t="s">
        <v>26</v>
      </c>
      <c r="I1059">
        <v>2</v>
      </c>
      <c r="J1059" t="s">
        <v>48</v>
      </c>
      <c r="K1059" t="s">
        <v>45</v>
      </c>
      <c r="L1059" t="s">
        <v>45</v>
      </c>
      <c r="M1059" t="s">
        <v>59</v>
      </c>
      <c r="N1059" s="15">
        <v>31.4</v>
      </c>
      <c r="O1059" s="16">
        <v>3.1</v>
      </c>
      <c r="P1059">
        <v>0</v>
      </c>
    </row>
    <row r="1060" spans="1:16" x14ac:dyDescent="0.3">
      <c r="A1060" t="s">
        <v>57</v>
      </c>
      <c r="B1060" t="s">
        <v>18</v>
      </c>
      <c r="C1060" t="s">
        <v>18</v>
      </c>
      <c r="D1060" t="s">
        <v>14</v>
      </c>
      <c r="E1060" t="s">
        <v>63</v>
      </c>
      <c r="F1060" t="s">
        <v>9</v>
      </c>
      <c r="G1060" s="15">
        <v>60.46</v>
      </c>
      <c r="H1060" t="s">
        <v>26</v>
      </c>
      <c r="I1060">
        <v>2</v>
      </c>
      <c r="J1060" t="s">
        <v>47</v>
      </c>
      <c r="K1060" t="s">
        <v>46</v>
      </c>
      <c r="L1060" t="s">
        <v>45</v>
      </c>
      <c r="M1060" t="s">
        <v>61</v>
      </c>
      <c r="N1060" s="15">
        <v>65.16</v>
      </c>
      <c r="O1060" s="16">
        <v>-7.2</v>
      </c>
      <c r="P1060">
        <v>0</v>
      </c>
    </row>
    <row r="1061" spans="1:16" x14ac:dyDescent="0.3">
      <c r="A1061" t="s">
        <v>57</v>
      </c>
      <c r="B1061" t="s">
        <v>22</v>
      </c>
      <c r="C1061" t="s">
        <v>22</v>
      </c>
      <c r="D1061" t="s">
        <v>12</v>
      </c>
      <c r="E1061" t="s">
        <v>80</v>
      </c>
      <c r="F1061" t="s">
        <v>13</v>
      </c>
      <c r="G1061" s="15">
        <v>160.32</v>
      </c>
      <c r="H1061" t="s">
        <v>27</v>
      </c>
      <c r="I1061">
        <v>3</v>
      </c>
      <c r="J1061" t="s">
        <v>48</v>
      </c>
      <c r="K1061" t="s">
        <v>45</v>
      </c>
      <c r="L1061" t="s">
        <v>45</v>
      </c>
      <c r="M1061" t="s">
        <v>72</v>
      </c>
      <c r="N1061" s="15">
        <v>162.72999999999999</v>
      </c>
      <c r="O1061" s="16">
        <v>-1.5</v>
      </c>
      <c r="P1061">
        <v>0</v>
      </c>
    </row>
    <row r="1062" spans="1:16" x14ac:dyDescent="0.3">
      <c r="A1062" t="s">
        <v>60</v>
      </c>
      <c r="B1062" t="s">
        <v>19</v>
      </c>
      <c r="C1062" t="s">
        <v>19</v>
      </c>
      <c r="D1062" t="s">
        <v>11</v>
      </c>
      <c r="E1062" t="s">
        <v>79</v>
      </c>
      <c r="F1062" t="s">
        <v>9</v>
      </c>
      <c r="G1062" s="15">
        <v>40</v>
      </c>
      <c r="H1062" t="s">
        <v>26</v>
      </c>
      <c r="I1062">
        <v>2</v>
      </c>
      <c r="J1062" t="s">
        <v>44</v>
      </c>
      <c r="K1062" t="s">
        <v>45</v>
      </c>
      <c r="L1062" t="s">
        <v>45</v>
      </c>
      <c r="M1062" t="s">
        <v>78</v>
      </c>
      <c r="N1062" s="15">
        <v>29.14</v>
      </c>
      <c r="O1062" s="16">
        <v>37.200000000000003</v>
      </c>
      <c r="P1062">
        <v>1</v>
      </c>
    </row>
    <row r="1063" spans="1:16" x14ac:dyDescent="0.3">
      <c r="A1063" t="s">
        <v>65</v>
      </c>
      <c r="B1063" t="s">
        <v>21</v>
      </c>
      <c r="C1063" t="s">
        <v>62</v>
      </c>
      <c r="D1063" t="s">
        <v>11</v>
      </c>
      <c r="E1063" t="s">
        <v>70</v>
      </c>
      <c r="F1063" t="s">
        <v>9</v>
      </c>
      <c r="G1063" s="15">
        <v>25.62</v>
      </c>
      <c r="H1063" t="s">
        <v>27</v>
      </c>
      <c r="I1063">
        <v>3</v>
      </c>
      <c r="J1063" t="s">
        <v>47</v>
      </c>
      <c r="K1063" t="s">
        <v>45</v>
      </c>
      <c r="L1063" t="s">
        <v>45</v>
      </c>
      <c r="M1063" t="s">
        <v>61</v>
      </c>
      <c r="N1063" s="15">
        <v>32.630000000000003</v>
      </c>
      <c r="O1063" s="16">
        <v>-21.5</v>
      </c>
      <c r="P1063">
        <v>0</v>
      </c>
    </row>
    <row r="1064" spans="1:16" x14ac:dyDescent="0.3">
      <c r="A1064" t="s">
        <v>57</v>
      </c>
      <c r="B1064" t="s">
        <v>18</v>
      </c>
      <c r="C1064" t="s">
        <v>18</v>
      </c>
      <c r="D1064" t="s">
        <v>12</v>
      </c>
      <c r="E1064" t="s">
        <v>80</v>
      </c>
      <c r="F1064" t="s">
        <v>13</v>
      </c>
      <c r="G1064" s="15">
        <v>187.49</v>
      </c>
      <c r="H1064" t="s">
        <v>25</v>
      </c>
      <c r="I1064">
        <v>1</v>
      </c>
      <c r="J1064" t="s">
        <v>47</v>
      </c>
      <c r="K1064" t="s">
        <v>45</v>
      </c>
      <c r="L1064" t="s">
        <v>45</v>
      </c>
      <c r="M1064" t="s">
        <v>72</v>
      </c>
      <c r="N1064" s="15">
        <v>162.72999999999999</v>
      </c>
      <c r="O1064" s="16">
        <v>15.2</v>
      </c>
      <c r="P1064">
        <v>1</v>
      </c>
    </row>
    <row r="1065" spans="1:16" x14ac:dyDescent="0.3">
      <c r="A1065" t="s">
        <v>65</v>
      </c>
      <c r="B1065" t="s">
        <v>21</v>
      </c>
      <c r="C1065" t="s">
        <v>62</v>
      </c>
      <c r="D1065" t="s">
        <v>15</v>
      </c>
      <c r="E1065" t="s">
        <v>76</v>
      </c>
      <c r="F1065" t="s">
        <v>9</v>
      </c>
      <c r="G1065" s="15">
        <v>133.13</v>
      </c>
      <c r="H1065" t="s">
        <v>26</v>
      </c>
      <c r="I1065">
        <v>2</v>
      </c>
      <c r="J1065" t="s">
        <v>47</v>
      </c>
      <c r="K1065" t="s">
        <v>45</v>
      </c>
      <c r="L1065" t="s">
        <v>45</v>
      </c>
      <c r="M1065" t="s">
        <v>72</v>
      </c>
      <c r="N1065" s="15">
        <v>126.51</v>
      </c>
      <c r="O1065" s="16">
        <v>5.2</v>
      </c>
      <c r="P1065">
        <v>0</v>
      </c>
    </row>
    <row r="1066" spans="1:16" x14ac:dyDescent="0.3">
      <c r="A1066" t="s">
        <v>60</v>
      </c>
      <c r="B1066" t="s">
        <v>22</v>
      </c>
      <c r="C1066" t="s">
        <v>22</v>
      </c>
      <c r="D1066" t="s">
        <v>8</v>
      </c>
      <c r="E1066" t="s">
        <v>73</v>
      </c>
      <c r="F1066" t="s">
        <v>9</v>
      </c>
      <c r="G1066" s="15">
        <v>99.88</v>
      </c>
      <c r="H1066" t="s">
        <v>26</v>
      </c>
      <c r="I1066">
        <v>2</v>
      </c>
      <c r="J1066" t="s">
        <v>48</v>
      </c>
      <c r="K1066" t="s">
        <v>45</v>
      </c>
      <c r="L1066" t="s">
        <v>45</v>
      </c>
      <c r="M1066" t="s">
        <v>72</v>
      </c>
      <c r="N1066" s="15">
        <v>82.04</v>
      </c>
      <c r="O1066" s="16">
        <v>21.7</v>
      </c>
      <c r="P1066">
        <v>1</v>
      </c>
    </row>
    <row r="1067" spans="1:16" x14ac:dyDescent="0.3">
      <c r="A1067" t="s">
        <v>65</v>
      </c>
      <c r="B1067" t="s">
        <v>22</v>
      </c>
      <c r="C1067" t="s">
        <v>22</v>
      </c>
      <c r="D1067" t="s">
        <v>8</v>
      </c>
      <c r="E1067" t="s">
        <v>73</v>
      </c>
      <c r="F1067" t="s">
        <v>9</v>
      </c>
      <c r="G1067" s="15">
        <v>106.26</v>
      </c>
      <c r="H1067" t="s">
        <v>26</v>
      </c>
      <c r="I1067">
        <v>2</v>
      </c>
      <c r="J1067" t="s">
        <v>44</v>
      </c>
      <c r="K1067" t="s">
        <v>45</v>
      </c>
      <c r="L1067" t="s">
        <v>45</v>
      </c>
      <c r="M1067" t="s">
        <v>67</v>
      </c>
      <c r="N1067" s="15">
        <v>88.05</v>
      </c>
      <c r="O1067" s="16">
        <v>20.7</v>
      </c>
      <c r="P1067">
        <v>1</v>
      </c>
    </row>
    <row r="1068" spans="1:16" x14ac:dyDescent="0.3">
      <c r="A1068" t="s">
        <v>65</v>
      </c>
      <c r="B1068" t="s">
        <v>21</v>
      </c>
      <c r="C1068" t="s">
        <v>62</v>
      </c>
      <c r="D1068" t="s">
        <v>15</v>
      </c>
      <c r="E1068" t="s">
        <v>75</v>
      </c>
      <c r="F1068" t="s">
        <v>9</v>
      </c>
      <c r="G1068" s="15">
        <v>126</v>
      </c>
      <c r="H1068" t="s">
        <v>26</v>
      </c>
      <c r="I1068">
        <v>2</v>
      </c>
      <c r="J1068" t="s">
        <v>47</v>
      </c>
      <c r="K1068" t="s">
        <v>45</v>
      </c>
      <c r="L1068" t="s">
        <v>46</v>
      </c>
      <c r="M1068" t="s">
        <v>72</v>
      </c>
      <c r="N1068" s="15">
        <v>126.9</v>
      </c>
      <c r="O1068" s="16">
        <v>-0.7</v>
      </c>
      <c r="P1068">
        <v>0</v>
      </c>
    </row>
    <row r="1069" spans="1:16" x14ac:dyDescent="0.3">
      <c r="A1069" t="s">
        <v>65</v>
      </c>
      <c r="B1069" t="s">
        <v>22</v>
      </c>
      <c r="C1069" t="s">
        <v>22</v>
      </c>
      <c r="D1069" t="s">
        <v>8</v>
      </c>
      <c r="E1069" t="s">
        <v>73</v>
      </c>
      <c r="F1069" t="s">
        <v>9</v>
      </c>
      <c r="G1069" s="15">
        <v>118.35</v>
      </c>
      <c r="H1069" t="s">
        <v>25</v>
      </c>
      <c r="I1069">
        <v>1</v>
      </c>
      <c r="J1069" t="s">
        <v>48</v>
      </c>
      <c r="K1069" t="s">
        <v>45</v>
      </c>
      <c r="L1069" t="s">
        <v>46</v>
      </c>
      <c r="M1069" t="s">
        <v>68</v>
      </c>
      <c r="N1069" s="15">
        <v>88.05</v>
      </c>
      <c r="O1069" s="16">
        <v>34.4</v>
      </c>
      <c r="P1069">
        <v>1</v>
      </c>
    </row>
    <row r="1070" spans="1:16" x14ac:dyDescent="0.3">
      <c r="A1070" t="s">
        <v>65</v>
      </c>
      <c r="B1070" t="s">
        <v>21</v>
      </c>
      <c r="C1070" t="s">
        <v>62</v>
      </c>
      <c r="D1070" t="s">
        <v>8</v>
      </c>
      <c r="E1070" t="s">
        <v>73</v>
      </c>
      <c r="F1070" t="s">
        <v>9</v>
      </c>
      <c r="G1070" s="15">
        <v>60.46</v>
      </c>
      <c r="H1070" t="s">
        <v>27</v>
      </c>
      <c r="I1070">
        <v>3</v>
      </c>
      <c r="J1070" t="s">
        <v>48</v>
      </c>
      <c r="K1070" t="s">
        <v>46</v>
      </c>
      <c r="L1070" t="s">
        <v>45</v>
      </c>
      <c r="M1070" t="s">
        <v>61</v>
      </c>
      <c r="N1070" s="15">
        <v>88.05</v>
      </c>
      <c r="O1070" s="16">
        <v>-31.3</v>
      </c>
      <c r="P1070">
        <v>0</v>
      </c>
    </row>
    <row r="1071" spans="1:16" x14ac:dyDescent="0.3">
      <c r="A1071" t="s">
        <v>57</v>
      </c>
      <c r="B1071" t="s">
        <v>19</v>
      </c>
      <c r="C1071" t="s">
        <v>19</v>
      </c>
      <c r="D1071" t="s">
        <v>14</v>
      </c>
      <c r="E1071" t="s">
        <v>71</v>
      </c>
      <c r="F1071" t="s">
        <v>9</v>
      </c>
      <c r="G1071" s="15">
        <v>65.349999999999994</v>
      </c>
      <c r="H1071" t="s">
        <v>27</v>
      </c>
      <c r="I1071">
        <v>3</v>
      </c>
      <c r="J1071" t="s">
        <v>48</v>
      </c>
      <c r="K1071" t="s">
        <v>45</v>
      </c>
      <c r="L1071" t="s">
        <v>45</v>
      </c>
      <c r="M1071" t="s">
        <v>59</v>
      </c>
      <c r="N1071" s="15">
        <v>65.77</v>
      </c>
      <c r="O1071" s="16">
        <v>-0.6</v>
      </c>
      <c r="P1071">
        <v>0</v>
      </c>
    </row>
    <row r="1072" spans="1:16" x14ac:dyDescent="0.3">
      <c r="A1072" t="s">
        <v>57</v>
      </c>
      <c r="B1072" t="s">
        <v>18</v>
      </c>
      <c r="C1072" t="s">
        <v>18</v>
      </c>
      <c r="D1072" t="s">
        <v>11</v>
      </c>
      <c r="E1072" t="s">
        <v>79</v>
      </c>
      <c r="F1072" t="s">
        <v>9</v>
      </c>
      <c r="G1072" s="15">
        <v>36.29</v>
      </c>
      <c r="H1072" t="s">
        <v>26</v>
      </c>
      <c r="I1072">
        <v>2</v>
      </c>
      <c r="J1072" t="s">
        <v>47</v>
      </c>
      <c r="K1072" t="s">
        <v>46</v>
      </c>
      <c r="L1072" t="s">
        <v>46</v>
      </c>
      <c r="M1072" t="s">
        <v>72</v>
      </c>
      <c r="N1072" s="15">
        <v>30.93</v>
      </c>
      <c r="O1072" s="16">
        <v>17.3</v>
      </c>
      <c r="P1072">
        <v>1</v>
      </c>
    </row>
    <row r="1073" spans="1:16" x14ac:dyDescent="0.3">
      <c r="A1073" t="s">
        <v>60</v>
      </c>
      <c r="B1073" t="s">
        <v>17</v>
      </c>
      <c r="C1073" t="s">
        <v>17</v>
      </c>
      <c r="D1073" t="s">
        <v>10</v>
      </c>
      <c r="E1073" t="s">
        <v>69</v>
      </c>
      <c r="F1073" t="s">
        <v>9</v>
      </c>
      <c r="G1073" s="15">
        <v>141.68</v>
      </c>
      <c r="H1073" t="s">
        <v>26</v>
      </c>
      <c r="I1073">
        <v>2</v>
      </c>
      <c r="J1073" t="s">
        <v>48</v>
      </c>
      <c r="K1073" t="s">
        <v>45</v>
      </c>
      <c r="L1073" t="s">
        <v>45</v>
      </c>
      <c r="M1073" t="s">
        <v>59</v>
      </c>
      <c r="N1073" s="15">
        <v>158.6</v>
      </c>
      <c r="O1073" s="16">
        <v>-10.7</v>
      </c>
      <c r="P1073">
        <v>0</v>
      </c>
    </row>
    <row r="1074" spans="1:16" x14ac:dyDescent="0.3">
      <c r="A1074" t="s">
        <v>60</v>
      </c>
      <c r="B1074" t="s">
        <v>20</v>
      </c>
      <c r="C1074" t="s">
        <v>20</v>
      </c>
      <c r="D1074" t="s">
        <v>8</v>
      </c>
      <c r="E1074" t="s">
        <v>73</v>
      </c>
      <c r="F1074" t="s">
        <v>9</v>
      </c>
      <c r="G1074" s="15">
        <v>97.64</v>
      </c>
      <c r="H1074" t="s">
        <v>25</v>
      </c>
      <c r="I1074">
        <v>1</v>
      </c>
      <c r="J1074" t="s">
        <v>47</v>
      </c>
      <c r="K1074" t="s">
        <v>46</v>
      </c>
      <c r="L1074" t="s">
        <v>46</v>
      </c>
      <c r="M1074" t="s">
        <v>61</v>
      </c>
      <c r="N1074" s="15">
        <v>82.04</v>
      </c>
      <c r="O1074" s="16">
        <v>19</v>
      </c>
      <c r="P1074">
        <v>1</v>
      </c>
    </row>
    <row r="1075" spans="1:16" x14ac:dyDescent="0.3">
      <c r="A1075" t="s">
        <v>60</v>
      </c>
      <c r="B1075" t="s">
        <v>21</v>
      </c>
      <c r="C1075" t="s">
        <v>62</v>
      </c>
      <c r="D1075" t="s">
        <v>10</v>
      </c>
      <c r="E1075" t="s">
        <v>58</v>
      </c>
      <c r="F1075" t="s">
        <v>9</v>
      </c>
      <c r="G1075" s="15">
        <v>192.6</v>
      </c>
      <c r="H1075" t="s">
        <v>25</v>
      </c>
      <c r="I1075">
        <v>1</v>
      </c>
      <c r="J1075" t="s">
        <v>48</v>
      </c>
      <c r="K1075" t="s">
        <v>45</v>
      </c>
      <c r="L1075" t="s">
        <v>45</v>
      </c>
      <c r="M1075" t="s">
        <v>64</v>
      </c>
      <c r="N1075" s="15">
        <v>152.03</v>
      </c>
      <c r="O1075" s="16">
        <v>26.7</v>
      </c>
      <c r="P1075">
        <v>1</v>
      </c>
    </row>
    <row r="1076" spans="1:16" x14ac:dyDescent="0.3">
      <c r="A1076" t="s">
        <v>65</v>
      </c>
      <c r="B1076" t="s">
        <v>19</v>
      </c>
      <c r="C1076" t="s">
        <v>19</v>
      </c>
      <c r="D1076" t="s">
        <v>15</v>
      </c>
      <c r="E1076" t="s">
        <v>76</v>
      </c>
      <c r="F1076" t="s">
        <v>9</v>
      </c>
      <c r="G1076" s="15">
        <v>127.14</v>
      </c>
      <c r="H1076" t="s">
        <v>27</v>
      </c>
      <c r="I1076">
        <v>3</v>
      </c>
      <c r="J1076" t="s">
        <v>47</v>
      </c>
      <c r="K1076" t="s">
        <v>45</v>
      </c>
      <c r="L1076" t="s">
        <v>46</v>
      </c>
      <c r="M1076" t="s">
        <v>59</v>
      </c>
      <c r="N1076" s="15">
        <v>126.51</v>
      </c>
      <c r="O1076" s="16">
        <v>0.5</v>
      </c>
      <c r="P1076">
        <v>0</v>
      </c>
    </row>
    <row r="1077" spans="1:16" x14ac:dyDescent="0.3">
      <c r="A1077" t="s">
        <v>65</v>
      </c>
      <c r="B1077" t="s">
        <v>22</v>
      </c>
      <c r="C1077" t="s">
        <v>22</v>
      </c>
      <c r="D1077" t="s">
        <v>10</v>
      </c>
      <c r="E1077" t="s">
        <v>69</v>
      </c>
      <c r="F1077" t="s">
        <v>9</v>
      </c>
      <c r="G1077" s="15">
        <v>166.18</v>
      </c>
      <c r="H1077" t="s">
        <v>27</v>
      </c>
      <c r="I1077">
        <v>3</v>
      </c>
      <c r="J1077" t="s">
        <v>48</v>
      </c>
      <c r="K1077" t="s">
        <v>45</v>
      </c>
      <c r="L1077" t="s">
        <v>46</v>
      </c>
      <c r="M1077" t="s">
        <v>64</v>
      </c>
      <c r="N1077" s="15">
        <v>158.91999999999999</v>
      </c>
      <c r="O1077" s="16">
        <v>4.5999999999999996</v>
      </c>
      <c r="P1077">
        <v>0</v>
      </c>
    </row>
    <row r="1078" spans="1:16" x14ac:dyDescent="0.3">
      <c r="A1078" t="s">
        <v>65</v>
      </c>
      <c r="B1078" t="s">
        <v>17</v>
      </c>
      <c r="C1078" t="s">
        <v>17</v>
      </c>
      <c r="D1078" t="s">
        <v>11</v>
      </c>
      <c r="E1078" t="s">
        <v>79</v>
      </c>
      <c r="F1078" t="s">
        <v>9</v>
      </c>
      <c r="G1078" s="15">
        <v>33.39</v>
      </c>
      <c r="H1078" t="s">
        <v>26</v>
      </c>
      <c r="I1078">
        <v>2</v>
      </c>
      <c r="J1078" t="s">
        <v>47</v>
      </c>
      <c r="K1078" t="s">
        <v>45</v>
      </c>
      <c r="L1078" t="s">
        <v>46</v>
      </c>
      <c r="M1078" t="s">
        <v>68</v>
      </c>
      <c r="N1078" s="15">
        <v>33.39</v>
      </c>
      <c r="O1078" s="16">
        <v>0</v>
      </c>
      <c r="P1078">
        <v>0</v>
      </c>
    </row>
    <row r="1079" spans="1:16" x14ac:dyDescent="0.3">
      <c r="A1079" t="s">
        <v>65</v>
      </c>
      <c r="B1079" t="s">
        <v>19</v>
      </c>
      <c r="C1079" t="s">
        <v>19</v>
      </c>
      <c r="D1079" t="s">
        <v>11</v>
      </c>
      <c r="E1079" t="s">
        <v>70</v>
      </c>
      <c r="F1079" t="s">
        <v>9</v>
      </c>
      <c r="G1079" s="15">
        <v>34.369999999999997</v>
      </c>
      <c r="H1079" t="s">
        <v>26</v>
      </c>
      <c r="I1079">
        <v>2</v>
      </c>
      <c r="J1079" t="s">
        <v>47</v>
      </c>
      <c r="K1079" t="s">
        <v>45</v>
      </c>
      <c r="L1079" t="s">
        <v>45</v>
      </c>
      <c r="M1079" t="s">
        <v>61</v>
      </c>
      <c r="N1079" s="15">
        <v>32.630000000000003</v>
      </c>
      <c r="O1079" s="16">
        <v>5.3</v>
      </c>
      <c r="P1079">
        <v>0</v>
      </c>
    </row>
    <row r="1080" spans="1:16" x14ac:dyDescent="0.3">
      <c r="A1080" t="s">
        <v>65</v>
      </c>
      <c r="B1080" t="s">
        <v>18</v>
      </c>
      <c r="C1080" t="s">
        <v>18</v>
      </c>
      <c r="D1080" t="s">
        <v>10</v>
      </c>
      <c r="E1080" t="s">
        <v>69</v>
      </c>
      <c r="F1080" t="s">
        <v>9</v>
      </c>
      <c r="G1080" s="15">
        <v>147.58000000000001</v>
      </c>
      <c r="H1080" t="s">
        <v>26</v>
      </c>
      <c r="I1080">
        <v>2</v>
      </c>
      <c r="J1080" t="s">
        <v>48</v>
      </c>
      <c r="K1080" t="s">
        <v>45</v>
      </c>
      <c r="L1080" t="s">
        <v>45</v>
      </c>
      <c r="M1080" t="s">
        <v>59</v>
      </c>
      <c r="N1080" s="15">
        <v>158.91999999999999</v>
      </c>
      <c r="O1080" s="16">
        <v>-7.1</v>
      </c>
      <c r="P1080">
        <v>0</v>
      </c>
    </row>
    <row r="1081" spans="1:16" x14ac:dyDescent="0.3">
      <c r="A1081" t="s">
        <v>57</v>
      </c>
      <c r="B1081" t="s">
        <v>17</v>
      </c>
      <c r="C1081" t="s">
        <v>17</v>
      </c>
      <c r="D1081" t="s">
        <v>10</v>
      </c>
      <c r="E1081" t="s">
        <v>69</v>
      </c>
      <c r="F1081" t="s">
        <v>9</v>
      </c>
      <c r="G1081" s="15">
        <v>163.41</v>
      </c>
      <c r="H1081" t="s">
        <v>26</v>
      </c>
      <c r="I1081">
        <v>2</v>
      </c>
      <c r="J1081" t="s">
        <v>48</v>
      </c>
      <c r="K1081" t="s">
        <v>45</v>
      </c>
      <c r="L1081" t="s">
        <v>45</v>
      </c>
      <c r="M1081" t="s">
        <v>67</v>
      </c>
      <c r="N1081" s="15">
        <v>150.38999999999999</v>
      </c>
      <c r="O1081" s="16">
        <v>8.6999999999999993</v>
      </c>
      <c r="P1081">
        <v>0</v>
      </c>
    </row>
    <row r="1082" spans="1:16" x14ac:dyDescent="0.3">
      <c r="A1082" t="s">
        <v>60</v>
      </c>
      <c r="B1082" t="s">
        <v>22</v>
      </c>
      <c r="C1082" t="s">
        <v>22</v>
      </c>
      <c r="D1082" t="s">
        <v>14</v>
      </c>
      <c r="E1082" t="s">
        <v>63</v>
      </c>
      <c r="F1082" t="s">
        <v>9</v>
      </c>
      <c r="G1082" s="15">
        <v>67.95</v>
      </c>
      <c r="H1082" t="s">
        <v>26</v>
      </c>
      <c r="I1082">
        <v>2</v>
      </c>
      <c r="J1082" t="s">
        <v>48</v>
      </c>
      <c r="K1082" t="s">
        <v>46</v>
      </c>
      <c r="L1082" t="s">
        <v>46</v>
      </c>
      <c r="M1082" t="s">
        <v>72</v>
      </c>
      <c r="N1082" s="15">
        <v>66.680000000000007</v>
      </c>
      <c r="O1082" s="16">
        <v>1.9</v>
      </c>
      <c r="P1082">
        <v>0</v>
      </c>
    </row>
    <row r="1083" spans="1:16" x14ac:dyDescent="0.3">
      <c r="A1083" t="s">
        <v>65</v>
      </c>
      <c r="B1083" t="s">
        <v>22</v>
      </c>
      <c r="C1083" t="s">
        <v>22</v>
      </c>
      <c r="D1083" t="s">
        <v>15</v>
      </c>
      <c r="E1083" t="s">
        <v>76</v>
      </c>
      <c r="F1083" t="s">
        <v>9</v>
      </c>
      <c r="G1083" s="15">
        <v>132.66999999999999</v>
      </c>
      <c r="H1083" t="s">
        <v>25</v>
      </c>
      <c r="I1083">
        <v>1</v>
      </c>
      <c r="J1083" t="s">
        <v>47</v>
      </c>
      <c r="K1083" t="s">
        <v>45</v>
      </c>
      <c r="L1083" t="s">
        <v>46</v>
      </c>
      <c r="M1083" t="s">
        <v>67</v>
      </c>
      <c r="N1083" s="15">
        <v>126.51</v>
      </c>
      <c r="O1083" s="16">
        <v>4.9000000000000004</v>
      </c>
      <c r="P1083">
        <v>0</v>
      </c>
    </row>
    <row r="1084" spans="1:16" x14ac:dyDescent="0.3">
      <c r="A1084" t="s">
        <v>57</v>
      </c>
      <c r="B1084" t="s">
        <v>19</v>
      </c>
      <c r="C1084" t="s">
        <v>19</v>
      </c>
      <c r="D1084" t="s">
        <v>10</v>
      </c>
      <c r="E1084" t="s">
        <v>69</v>
      </c>
      <c r="F1084" t="s">
        <v>9</v>
      </c>
      <c r="G1084" s="15">
        <v>133.36000000000001</v>
      </c>
      <c r="H1084" t="s">
        <v>27</v>
      </c>
      <c r="I1084">
        <v>3</v>
      </c>
      <c r="J1084" t="s">
        <v>48</v>
      </c>
      <c r="K1084" t="s">
        <v>45</v>
      </c>
      <c r="L1084" t="s">
        <v>45</v>
      </c>
      <c r="M1084" t="s">
        <v>59</v>
      </c>
      <c r="N1084" s="15">
        <v>150.38999999999999</v>
      </c>
      <c r="O1084" s="16">
        <v>-11.3</v>
      </c>
      <c r="P1084">
        <v>0</v>
      </c>
    </row>
    <row r="1085" spans="1:16" x14ac:dyDescent="0.3">
      <c r="A1085" t="s">
        <v>65</v>
      </c>
      <c r="B1085" t="s">
        <v>17</v>
      </c>
      <c r="C1085" t="s">
        <v>17</v>
      </c>
      <c r="D1085" t="s">
        <v>14</v>
      </c>
      <c r="E1085" t="s">
        <v>77</v>
      </c>
      <c r="F1085" t="s">
        <v>9</v>
      </c>
      <c r="G1085" s="15">
        <v>61.61</v>
      </c>
      <c r="H1085" t="s">
        <v>26</v>
      </c>
      <c r="I1085">
        <v>2</v>
      </c>
      <c r="J1085" t="s">
        <v>48</v>
      </c>
      <c r="K1085" t="s">
        <v>45</v>
      </c>
      <c r="L1085" t="s">
        <v>45</v>
      </c>
      <c r="M1085" t="s">
        <v>61</v>
      </c>
      <c r="N1085" s="15">
        <v>70.66</v>
      </c>
      <c r="O1085" s="16">
        <v>-12.8</v>
      </c>
      <c r="P1085">
        <v>0</v>
      </c>
    </row>
    <row r="1086" spans="1:16" x14ac:dyDescent="0.3">
      <c r="A1086" t="s">
        <v>57</v>
      </c>
      <c r="B1086" t="s">
        <v>20</v>
      </c>
      <c r="C1086" t="s">
        <v>20</v>
      </c>
      <c r="D1086" t="s">
        <v>11</v>
      </c>
      <c r="E1086" t="s">
        <v>79</v>
      </c>
      <c r="F1086" t="s">
        <v>9</v>
      </c>
      <c r="G1086" s="15">
        <v>23.51</v>
      </c>
      <c r="H1086" t="s">
        <v>27</v>
      </c>
      <c r="I1086">
        <v>3</v>
      </c>
      <c r="J1086" t="s">
        <v>48</v>
      </c>
      <c r="K1086" t="s">
        <v>46</v>
      </c>
      <c r="L1086" t="s">
        <v>45</v>
      </c>
      <c r="M1086" t="s">
        <v>78</v>
      </c>
      <c r="N1086" s="15">
        <v>30.93</v>
      </c>
      <c r="O1086" s="16">
        <v>-24</v>
      </c>
      <c r="P1086">
        <v>0</v>
      </c>
    </row>
    <row r="1087" spans="1:16" x14ac:dyDescent="0.3">
      <c r="A1087" t="s">
        <v>57</v>
      </c>
      <c r="B1087" t="s">
        <v>19</v>
      </c>
      <c r="C1087" t="s">
        <v>19</v>
      </c>
      <c r="D1087" t="s">
        <v>11</v>
      </c>
      <c r="E1087" t="s">
        <v>70</v>
      </c>
      <c r="F1087" t="s">
        <v>9</v>
      </c>
      <c r="G1087" s="15">
        <v>35.630000000000003</v>
      </c>
      <c r="H1087" t="s">
        <v>25</v>
      </c>
      <c r="I1087">
        <v>1</v>
      </c>
      <c r="J1087" t="s">
        <v>48</v>
      </c>
      <c r="K1087" t="s">
        <v>45</v>
      </c>
      <c r="L1087" t="s">
        <v>45</v>
      </c>
      <c r="M1087" t="s">
        <v>61</v>
      </c>
      <c r="N1087" s="15">
        <v>30.5</v>
      </c>
      <c r="O1087" s="16">
        <v>16.8</v>
      </c>
      <c r="P1087">
        <v>1</v>
      </c>
    </row>
    <row r="1088" spans="1:16" x14ac:dyDescent="0.3">
      <c r="A1088" t="s">
        <v>60</v>
      </c>
      <c r="B1088" t="s">
        <v>19</v>
      </c>
      <c r="C1088" t="s">
        <v>19</v>
      </c>
      <c r="D1088" t="s">
        <v>10</v>
      </c>
      <c r="E1088" t="s">
        <v>58</v>
      </c>
      <c r="F1088" t="s">
        <v>9</v>
      </c>
      <c r="G1088" s="15">
        <v>125.74</v>
      </c>
      <c r="H1088" t="s">
        <v>26</v>
      </c>
      <c r="I1088">
        <v>2</v>
      </c>
      <c r="J1088" t="s">
        <v>48</v>
      </c>
      <c r="K1088" t="s">
        <v>45</v>
      </c>
      <c r="L1088" t="s">
        <v>45</v>
      </c>
      <c r="M1088" t="s">
        <v>64</v>
      </c>
      <c r="N1088" s="15">
        <v>152.03</v>
      </c>
      <c r="O1088" s="16">
        <v>-17.3</v>
      </c>
      <c r="P1088">
        <v>0</v>
      </c>
    </row>
    <row r="1089" spans="1:16" x14ac:dyDescent="0.3">
      <c r="A1089" t="s">
        <v>65</v>
      </c>
      <c r="B1089" t="s">
        <v>17</v>
      </c>
      <c r="C1089" t="s">
        <v>17</v>
      </c>
      <c r="D1089" t="s">
        <v>15</v>
      </c>
      <c r="E1089" t="s">
        <v>76</v>
      </c>
      <c r="F1089" t="s">
        <v>9</v>
      </c>
      <c r="G1089" s="15">
        <v>131.65</v>
      </c>
      <c r="H1089" t="s">
        <v>25</v>
      </c>
      <c r="I1089">
        <v>1</v>
      </c>
      <c r="J1089" t="s">
        <v>48</v>
      </c>
      <c r="K1089" t="s">
        <v>46</v>
      </c>
      <c r="L1089" t="s">
        <v>46</v>
      </c>
      <c r="M1089" t="s">
        <v>59</v>
      </c>
      <c r="N1089" s="15">
        <v>126.51</v>
      </c>
      <c r="O1089" s="16">
        <v>4.0999999999999996</v>
      </c>
      <c r="P1089">
        <v>0</v>
      </c>
    </row>
    <row r="1090" spans="1:16" x14ac:dyDescent="0.3">
      <c r="A1090" t="s">
        <v>65</v>
      </c>
      <c r="B1090" t="s">
        <v>17</v>
      </c>
      <c r="C1090" t="s">
        <v>17</v>
      </c>
      <c r="D1090" t="s">
        <v>12</v>
      </c>
      <c r="E1090" t="s">
        <v>80</v>
      </c>
      <c r="F1090" t="s">
        <v>13</v>
      </c>
      <c r="G1090" s="15">
        <v>153.65</v>
      </c>
      <c r="H1090" t="s">
        <v>26</v>
      </c>
      <c r="I1090">
        <v>2</v>
      </c>
      <c r="J1090" t="s">
        <v>48</v>
      </c>
      <c r="K1090" t="s">
        <v>45</v>
      </c>
      <c r="L1090" t="s">
        <v>45</v>
      </c>
      <c r="M1090" t="s">
        <v>59</v>
      </c>
      <c r="N1090" s="15">
        <v>176.57</v>
      </c>
      <c r="O1090" s="16">
        <v>-13</v>
      </c>
      <c r="P1090">
        <v>0</v>
      </c>
    </row>
    <row r="1091" spans="1:16" x14ac:dyDescent="0.3">
      <c r="A1091" t="s">
        <v>65</v>
      </c>
      <c r="B1091" t="s">
        <v>21</v>
      </c>
      <c r="C1091" t="s">
        <v>62</v>
      </c>
      <c r="D1091" t="s">
        <v>11</v>
      </c>
      <c r="E1091" t="s">
        <v>70</v>
      </c>
      <c r="F1091" t="s">
        <v>9</v>
      </c>
      <c r="G1091" s="15">
        <v>29.3</v>
      </c>
      <c r="H1091" t="s">
        <v>26</v>
      </c>
      <c r="I1091">
        <v>2</v>
      </c>
      <c r="J1091" t="s">
        <v>47</v>
      </c>
      <c r="K1091" t="s">
        <v>45</v>
      </c>
      <c r="L1091" t="s">
        <v>45</v>
      </c>
      <c r="M1091" t="s">
        <v>61</v>
      </c>
      <c r="N1091" s="15">
        <v>32.630000000000003</v>
      </c>
      <c r="O1091" s="16">
        <v>-10.199999999999999</v>
      </c>
      <c r="P1091">
        <v>0</v>
      </c>
    </row>
    <row r="1092" spans="1:16" x14ac:dyDescent="0.3">
      <c r="A1092" t="s">
        <v>57</v>
      </c>
      <c r="B1092" t="s">
        <v>21</v>
      </c>
      <c r="C1092" t="s">
        <v>62</v>
      </c>
      <c r="D1092" t="s">
        <v>11</v>
      </c>
      <c r="E1092" t="s">
        <v>79</v>
      </c>
      <c r="F1092" t="s">
        <v>9</v>
      </c>
      <c r="G1092" s="15">
        <v>31.91</v>
      </c>
      <c r="H1092" t="s">
        <v>26</v>
      </c>
      <c r="I1092">
        <v>2</v>
      </c>
      <c r="J1092" t="s">
        <v>48</v>
      </c>
      <c r="K1092" t="s">
        <v>45</v>
      </c>
      <c r="L1092" t="s">
        <v>45</v>
      </c>
      <c r="M1092" t="s">
        <v>61</v>
      </c>
      <c r="N1092" s="15">
        <v>30.93</v>
      </c>
      <c r="O1092" s="16">
        <v>3.2</v>
      </c>
      <c r="P1092">
        <v>0</v>
      </c>
    </row>
    <row r="1093" spans="1:16" x14ac:dyDescent="0.3">
      <c r="A1093" t="s">
        <v>65</v>
      </c>
      <c r="B1093" t="s">
        <v>21</v>
      </c>
      <c r="C1093" t="s">
        <v>62</v>
      </c>
      <c r="D1093" t="s">
        <v>14</v>
      </c>
      <c r="E1093" t="s">
        <v>63</v>
      </c>
      <c r="F1093" t="s">
        <v>9</v>
      </c>
      <c r="G1093" s="15">
        <v>62.81</v>
      </c>
      <c r="H1093" t="s">
        <v>26</v>
      </c>
      <c r="I1093">
        <v>2</v>
      </c>
      <c r="J1093" t="s">
        <v>48</v>
      </c>
      <c r="K1093" t="s">
        <v>46</v>
      </c>
      <c r="L1093" t="s">
        <v>45</v>
      </c>
      <c r="M1093" t="s">
        <v>67</v>
      </c>
      <c r="N1093" s="15">
        <v>68.150000000000006</v>
      </c>
      <c r="O1093" s="16">
        <v>-7.8</v>
      </c>
      <c r="P1093">
        <v>0</v>
      </c>
    </row>
    <row r="1094" spans="1:16" x14ac:dyDescent="0.3">
      <c r="A1094" t="s">
        <v>65</v>
      </c>
      <c r="B1094" t="s">
        <v>21</v>
      </c>
      <c r="C1094" t="s">
        <v>62</v>
      </c>
      <c r="D1094" t="s">
        <v>10</v>
      </c>
      <c r="E1094" t="s">
        <v>69</v>
      </c>
      <c r="F1094" t="s">
        <v>9</v>
      </c>
      <c r="G1094" s="15">
        <v>188.84</v>
      </c>
      <c r="H1094" t="s">
        <v>25</v>
      </c>
      <c r="I1094">
        <v>1</v>
      </c>
      <c r="J1094" t="s">
        <v>47</v>
      </c>
      <c r="K1094" t="s">
        <v>45</v>
      </c>
      <c r="L1094" t="s">
        <v>46</v>
      </c>
      <c r="M1094" t="s">
        <v>64</v>
      </c>
      <c r="N1094" s="15">
        <v>158.91999999999999</v>
      </c>
      <c r="O1094" s="16">
        <v>18.8</v>
      </c>
      <c r="P1094">
        <v>1</v>
      </c>
    </row>
    <row r="1095" spans="1:16" x14ac:dyDescent="0.3">
      <c r="A1095" t="s">
        <v>65</v>
      </c>
      <c r="B1095" t="s">
        <v>19</v>
      </c>
      <c r="C1095" t="s">
        <v>19</v>
      </c>
      <c r="D1095" t="s">
        <v>8</v>
      </c>
      <c r="E1095" t="s">
        <v>73</v>
      </c>
      <c r="F1095" t="s">
        <v>9</v>
      </c>
      <c r="G1095" s="15">
        <v>94.1</v>
      </c>
      <c r="H1095" t="s">
        <v>25</v>
      </c>
      <c r="I1095">
        <v>1</v>
      </c>
      <c r="J1095" t="s">
        <v>48</v>
      </c>
      <c r="K1095" t="s">
        <v>46</v>
      </c>
      <c r="L1095" t="s">
        <v>45</v>
      </c>
      <c r="M1095" t="s">
        <v>72</v>
      </c>
      <c r="N1095" s="15">
        <v>88.05</v>
      </c>
      <c r="O1095" s="16">
        <v>6.9</v>
      </c>
      <c r="P1095">
        <v>0</v>
      </c>
    </row>
    <row r="1096" spans="1:16" x14ac:dyDescent="0.3">
      <c r="A1096" t="s">
        <v>60</v>
      </c>
      <c r="B1096" t="s">
        <v>22</v>
      </c>
      <c r="C1096" t="s">
        <v>22</v>
      </c>
      <c r="D1096" t="s">
        <v>10</v>
      </c>
      <c r="E1096" t="s">
        <v>69</v>
      </c>
      <c r="F1096" t="s">
        <v>9</v>
      </c>
      <c r="G1096" s="15">
        <v>136.99</v>
      </c>
      <c r="H1096" t="s">
        <v>27</v>
      </c>
      <c r="I1096">
        <v>3</v>
      </c>
      <c r="J1096" t="s">
        <v>47</v>
      </c>
      <c r="K1096" t="s">
        <v>46</v>
      </c>
      <c r="L1096" t="s">
        <v>45</v>
      </c>
      <c r="M1096" t="s">
        <v>64</v>
      </c>
      <c r="N1096" s="15">
        <v>158.6</v>
      </c>
      <c r="O1096" s="16">
        <v>-13.6</v>
      </c>
      <c r="P1096">
        <v>0</v>
      </c>
    </row>
    <row r="1097" spans="1:16" x14ac:dyDescent="0.3">
      <c r="A1097" t="s">
        <v>57</v>
      </c>
      <c r="B1097" t="s">
        <v>18</v>
      </c>
      <c r="C1097" t="s">
        <v>18</v>
      </c>
      <c r="D1097" t="s">
        <v>12</v>
      </c>
      <c r="E1097" t="s">
        <v>80</v>
      </c>
      <c r="F1097" t="s">
        <v>13</v>
      </c>
      <c r="G1097" s="15">
        <v>189.52</v>
      </c>
      <c r="H1097" t="s">
        <v>26</v>
      </c>
      <c r="I1097">
        <v>2</v>
      </c>
      <c r="J1097" t="s">
        <v>48</v>
      </c>
      <c r="K1097" t="s">
        <v>45</v>
      </c>
      <c r="L1097" t="s">
        <v>45</v>
      </c>
      <c r="M1097" t="s">
        <v>61</v>
      </c>
      <c r="N1097" s="15">
        <v>162.72999999999999</v>
      </c>
      <c r="O1097" s="16">
        <v>16.5</v>
      </c>
      <c r="P1097">
        <v>1</v>
      </c>
    </row>
    <row r="1098" spans="1:16" x14ac:dyDescent="0.3">
      <c r="A1098" t="s">
        <v>65</v>
      </c>
      <c r="B1098" t="s">
        <v>21</v>
      </c>
      <c r="C1098" t="s">
        <v>62</v>
      </c>
      <c r="D1098" t="s">
        <v>14</v>
      </c>
      <c r="E1098" t="s">
        <v>77</v>
      </c>
      <c r="F1098" t="s">
        <v>9</v>
      </c>
      <c r="G1098" s="15">
        <v>80</v>
      </c>
      <c r="H1098" t="s">
        <v>25</v>
      </c>
      <c r="I1098">
        <v>1</v>
      </c>
      <c r="J1098" t="s">
        <v>47</v>
      </c>
      <c r="K1098" t="s">
        <v>45</v>
      </c>
      <c r="L1098" t="s">
        <v>45</v>
      </c>
      <c r="M1098" t="s">
        <v>67</v>
      </c>
      <c r="N1098" s="15">
        <v>70.66</v>
      </c>
      <c r="O1098" s="16">
        <v>13.2</v>
      </c>
      <c r="P1098">
        <v>0</v>
      </c>
    </row>
    <row r="1099" spans="1:16" x14ac:dyDescent="0.3">
      <c r="A1099" t="s">
        <v>60</v>
      </c>
      <c r="B1099" t="s">
        <v>19</v>
      </c>
      <c r="C1099" t="s">
        <v>19</v>
      </c>
      <c r="D1099" t="s">
        <v>12</v>
      </c>
      <c r="E1099" t="s">
        <v>80</v>
      </c>
      <c r="F1099" t="s">
        <v>13</v>
      </c>
      <c r="G1099" s="15">
        <v>200</v>
      </c>
      <c r="H1099" t="s">
        <v>25</v>
      </c>
      <c r="I1099">
        <v>1</v>
      </c>
      <c r="J1099" t="s">
        <v>48</v>
      </c>
      <c r="K1099" t="s">
        <v>45</v>
      </c>
      <c r="L1099" t="s">
        <v>46</v>
      </c>
      <c r="M1099" t="s">
        <v>68</v>
      </c>
      <c r="N1099" s="15">
        <v>167.63</v>
      </c>
      <c r="O1099" s="16">
        <v>19.3</v>
      </c>
      <c r="P1099">
        <v>1</v>
      </c>
    </row>
    <row r="1100" spans="1:16" x14ac:dyDescent="0.3">
      <c r="A1100" t="s">
        <v>57</v>
      </c>
      <c r="B1100" t="s">
        <v>21</v>
      </c>
      <c r="C1100" t="s">
        <v>62</v>
      </c>
      <c r="D1100" t="s">
        <v>14</v>
      </c>
      <c r="E1100" t="s">
        <v>63</v>
      </c>
      <c r="F1100" t="s">
        <v>9</v>
      </c>
      <c r="G1100" s="15">
        <v>63.62</v>
      </c>
      <c r="H1100" t="s">
        <v>26</v>
      </c>
      <c r="I1100">
        <v>2</v>
      </c>
      <c r="J1100" t="s">
        <v>48</v>
      </c>
      <c r="K1100" t="s">
        <v>45</v>
      </c>
      <c r="L1100" t="s">
        <v>45</v>
      </c>
      <c r="M1100" t="s">
        <v>61</v>
      </c>
      <c r="N1100" s="15">
        <v>65.16</v>
      </c>
      <c r="O1100" s="16">
        <v>-2.4</v>
      </c>
      <c r="P1100">
        <v>0</v>
      </c>
    </row>
    <row r="1101" spans="1:16" x14ac:dyDescent="0.3">
      <c r="A1101" t="s">
        <v>60</v>
      </c>
      <c r="B1101" t="s">
        <v>21</v>
      </c>
      <c r="C1101" t="s">
        <v>62</v>
      </c>
      <c r="D1101" t="s">
        <v>12</v>
      </c>
      <c r="E1101" t="s">
        <v>66</v>
      </c>
      <c r="F1101" t="s">
        <v>13</v>
      </c>
      <c r="G1101" s="15">
        <v>155.83000000000001</v>
      </c>
      <c r="H1101" t="s">
        <v>25</v>
      </c>
      <c r="I1101">
        <v>1</v>
      </c>
      <c r="J1101" t="s">
        <v>48</v>
      </c>
      <c r="K1101" t="s">
        <v>46</v>
      </c>
      <c r="L1101" t="s">
        <v>45</v>
      </c>
      <c r="M1101" t="s">
        <v>61</v>
      </c>
      <c r="N1101" s="15">
        <v>168.34</v>
      </c>
      <c r="O1101" s="16">
        <v>-7.4</v>
      </c>
      <c r="P1101">
        <v>0</v>
      </c>
    </row>
    <row r="1102" spans="1:16" x14ac:dyDescent="0.3">
      <c r="A1102" t="s">
        <v>60</v>
      </c>
      <c r="B1102" t="s">
        <v>22</v>
      </c>
      <c r="C1102" t="s">
        <v>22</v>
      </c>
      <c r="D1102" t="s">
        <v>8</v>
      </c>
      <c r="E1102" t="s">
        <v>73</v>
      </c>
      <c r="F1102" t="s">
        <v>9</v>
      </c>
      <c r="G1102" s="15">
        <v>74.650000000000006</v>
      </c>
      <c r="H1102" t="s">
        <v>26</v>
      </c>
      <c r="I1102">
        <v>2</v>
      </c>
      <c r="J1102" t="s">
        <v>47</v>
      </c>
      <c r="K1102" t="s">
        <v>45</v>
      </c>
      <c r="L1102" t="s">
        <v>45</v>
      </c>
      <c r="M1102" t="s">
        <v>64</v>
      </c>
      <c r="N1102" s="15">
        <v>82.04</v>
      </c>
      <c r="O1102" s="16">
        <v>-9</v>
      </c>
      <c r="P1102">
        <v>0</v>
      </c>
    </row>
    <row r="1103" spans="1:16" x14ac:dyDescent="0.3">
      <c r="A1103" t="s">
        <v>60</v>
      </c>
      <c r="B1103" t="s">
        <v>21</v>
      </c>
      <c r="C1103" t="s">
        <v>62</v>
      </c>
      <c r="D1103" t="s">
        <v>12</v>
      </c>
      <c r="E1103" t="s">
        <v>80</v>
      </c>
      <c r="F1103" t="s">
        <v>13</v>
      </c>
      <c r="G1103" s="15">
        <v>157.52000000000001</v>
      </c>
      <c r="H1103" t="s">
        <v>26</v>
      </c>
      <c r="I1103">
        <v>2</v>
      </c>
      <c r="J1103" t="s">
        <v>48</v>
      </c>
      <c r="K1103" t="s">
        <v>45</v>
      </c>
      <c r="L1103" t="s">
        <v>45</v>
      </c>
      <c r="M1103" t="s">
        <v>61</v>
      </c>
      <c r="N1103" s="15">
        <v>167.63</v>
      </c>
      <c r="O1103" s="16">
        <v>-6</v>
      </c>
      <c r="P1103">
        <v>0</v>
      </c>
    </row>
    <row r="1104" spans="1:16" x14ac:dyDescent="0.3">
      <c r="A1104" t="s">
        <v>65</v>
      </c>
      <c r="B1104" t="s">
        <v>21</v>
      </c>
      <c r="C1104" t="s">
        <v>62</v>
      </c>
      <c r="D1104" t="s">
        <v>8</v>
      </c>
      <c r="E1104" t="s">
        <v>73</v>
      </c>
      <c r="F1104" t="s">
        <v>9</v>
      </c>
      <c r="G1104" s="15">
        <v>62.8</v>
      </c>
      <c r="H1104" t="s">
        <v>27</v>
      </c>
      <c r="I1104">
        <v>3</v>
      </c>
      <c r="J1104" t="s">
        <v>48</v>
      </c>
      <c r="K1104" t="s">
        <v>46</v>
      </c>
      <c r="L1104" t="s">
        <v>45</v>
      </c>
      <c r="M1104" t="s">
        <v>59</v>
      </c>
      <c r="N1104" s="15">
        <v>88.05</v>
      </c>
      <c r="O1104" s="16">
        <v>-28.7</v>
      </c>
      <c r="P1104">
        <v>0</v>
      </c>
    </row>
    <row r="1105" spans="1:16" x14ac:dyDescent="0.3">
      <c r="A1105" t="s">
        <v>65</v>
      </c>
      <c r="B1105" t="s">
        <v>18</v>
      </c>
      <c r="C1105" t="s">
        <v>18</v>
      </c>
      <c r="D1105" t="s">
        <v>10</v>
      </c>
      <c r="E1105" t="s">
        <v>58</v>
      </c>
      <c r="F1105" t="s">
        <v>9</v>
      </c>
      <c r="G1105" s="15">
        <v>179.21</v>
      </c>
      <c r="H1105" t="s">
        <v>26</v>
      </c>
      <c r="I1105">
        <v>2</v>
      </c>
      <c r="J1105" t="s">
        <v>47</v>
      </c>
      <c r="K1105" t="s">
        <v>45</v>
      </c>
      <c r="L1105" t="s">
        <v>45</v>
      </c>
      <c r="M1105" t="s">
        <v>78</v>
      </c>
      <c r="N1105" s="15">
        <v>166.29</v>
      </c>
      <c r="O1105" s="16">
        <v>7.8</v>
      </c>
      <c r="P1105">
        <v>0</v>
      </c>
    </row>
    <row r="1106" spans="1:16" x14ac:dyDescent="0.3">
      <c r="A1106" t="s">
        <v>60</v>
      </c>
      <c r="B1106" t="s">
        <v>21</v>
      </c>
      <c r="C1106" t="s">
        <v>62</v>
      </c>
      <c r="D1106" t="s">
        <v>11</v>
      </c>
      <c r="E1106" t="s">
        <v>79</v>
      </c>
      <c r="F1106" t="s">
        <v>9</v>
      </c>
      <c r="G1106" s="15">
        <v>33.020000000000003</v>
      </c>
      <c r="H1106" t="s">
        <v>26</v>
      </c>
      <c r="I1106">
        <v>2</v>
      </c>
      <c r="J1106" t="s">
        <v>48</v>
      </c>
      <c r="K1106" t="s">
        <v>45</v>
      </c>
      <c r="L1106" t="s">
        <v>45</v>
      </c>
      <c r="M1106" t="s">
        <v>78</v>
      </c>
      <c r="N1106" s="15">
        <v>29.14</v>
      </c>
      <c r="O1106" s="16">
        <v>13.3</v>
      </c>
      <c r="P1106">
        <v>0</v>
      </c>
    </row>
    <row r="1107" spans="1:16" x14ac:dyDescent="0.3">
      <c r="A1107" t="s">
        <v>65</v>
      </c>
      <c r="B1107" t="s">
        <v>20</v>
      </c>
      <c r="C1107" t="s">
        <v>20</v>
      </c>
      <c r="D1107" t="s">
        <v>14</v>
      </c>
      <c r="E1107" t="s">
        <v>71</v>
      </c>
      <c r="F1107" t="s">
        <v>9</v>
      </c>
      <c r="G1107" s="15">
        <v>80</v>
      </c>
      <c r="H1107" t="s">
        <v>26</v>
      </c>
      <c r="I1107">
        <v>2</v>
      </c>
      <c r="J1107" t="s">
        <v>47</v>
      </c>
      <c r="K1107" t="s">
        <v>45</v>
      </c>
      <c r="L1107" t="s">
        <v>46</v>
      </c>
      <c r="M1107" t="s">
        <v>68</v>
      </c>
      <c r="N1107" s="15">
        <v>71.77</v>
      </c>
      <c r="O1107" s="16">
        <v>11.5</v>
      </c>
      <c r="P1107">
        <v>0</v>
      </c>
    </row>
    <row r="1108" spans="1:16" x14ac:dyDescent="0.3">
      <c r="A1108" t="s">
        <v>65</v>
      </c>
      <c r="B1108" t="s">
        <v>17</v>
      </c>
      <c r="C1108" t="s">
        <v>17</v>
      </c>
      <c r="D1108" t="s">
        <v>10</v>
      </c>
      <c r="E1108" t="s">
        <v>58</v>
      </c>
      <c r="F1108" t="s">
        <v>9</v>
      </c>
      <c r="G1108" s="15">
        <v>137.61000000000001</v>
      </c>
      <c r="H1108" t="s">
        <v>27</v>
      </c>
      <c r="I1108">
        <v>3</v>
      </c>
      <c r="J1108" t="s">
        <v>48</v>
      </c>
      <c r="K1108" t="s">
        <v>45</v>
      </c>
      <c r="L1108" t="s">
        <v>45</v>
      </c>
      <c r="M1108" t="s">
        <v>59</v>
      </c>
      <c r="N1108" s="15">
        <v>166.29</v>
      </c>
      <c r="O1108" s="16">
        <v>-17.2</v>
      </c>
      <c r="P1108">
        <v>0</v>
      </c>
    </row>
    <row r="1109" spans="1:16" x14ac:dyDescent="0.3">
      <c r="A1109" t="s">
        <v>57</v>
      </c>
      <c r="B1109" t="s">
        <v>22</v>
      </c>
      <c r="C1109" t="s">
        <v>22</v>
      </c>
      <c r="D1109" t="s">
        <v>10</v>
      </c>
      <c r="E1109" t="s">
        <v>58</v>
      </c>
      <c r="F1109" t="s">
        <v>9</v>
      </c>
      <c r="G1109" s="15">
        <v>181.4</v>
      </c>
      <c r="H1109" t="s">
        <v>26</v>
      </c>
      <c r="I1109">
        <v>2</v>
      </c>
      <c r="J1109" t="s">
        <v>48</v>
      </c>
      <c r="K1109" t="s">
        <v>45</v>
      </c>
      <c r="L1109" t="s">
        <v>46</v>
      </c>
      <c r="M1109" t="s">
        <v>68</v>
      </c>
      <c r="N1109" s="15">
        <v>151.19</v>
      </c>
      <c r="O1109" s="16">
        <v>20</v>
      </c>
      <c r="P1109">
        <v>1</v>
      </c>
    </row>
    <row r="1110" spans="1:16" x14ac:dyDescent="0.3">
      <c r="A1110" t="s">
        <v>60</v>
      </c>
      <c r="B1110" t="s">
        <v>21</v>
      </c>
      <c r="C1110" t="s">
        <v>62</v>
      </c>
      <c r="D1110" t="s">
        <v>11</v>
      </c>
      <c r="E1110" t="s">
        <v>70</v>
      </c>
      <c r="F1110" t="s">
        <v>9</v>
      </c>
      <c r="G1110" s="15">
        <v>33.11</v>
      </c>
      <c r="H1110" t="s">
        <v>27</v>
      </c>
      <c r="I1110">
        <v>3</v>
      </c>
      <c r="J1110" t="s">
        <v>47</v>
      </c>
      <c r="K1110" t="s">
        <v>45</v>
      </c>
      <c r="L1110" t="s">
        <v>45</v>
      </c>
      <c r="M1110" t="s">
        <v>68</v>
      </c>
      <c r="N1110" s="15">
        <v>31.4</v>
      </c>
      <c r="O1110" s="16">
        <v>5.4</v>
      </c>
      <c r="P1110">
        <v>0</v>
      </c>
    </row>
    <row r="1111" spans="1:16" x14ac:dyDescent="0.3">
      <c r="A1111" t="s">
        <v>57</v>
      </c>
      <c r="B1111" t="s">
        <v>21</v>
      </c>
      <c r="C1111" t="s">
        <v>62</v>
      </c>
      <c r="D1111" t="s">
        <v>10</v>
      </c>
      <c r="E1111" t="s">
        <v>58</v>
      </c>
      <c r="F1111" t="s">
        <v>9</v>
      </c>
      <c r="G1111" s="15">
        <v>157.19999999999999</v>
      </c>
      <c r="H1111" t="s">
        <v>26</v>
      </c>
      <c r="I1111">
        <v>2</v>
      </c>
      <c r="J1111" t="s">
        <v>47</v>
      </c>
      <c r="K1111" t="s">
        <v>46</v>
      </c>
      <c r="L1111" t="s">
        <v>45</v>
      </c>
      <c r="M1111" t="s">
        <v>59</v>
      </c>
      <c r="N1111" s="15">
        <v>151.19</v>
      </c>
      <c r="O1111" s="16">
        <v>4</v>
      </c>
      <c r="P1111">
        <v>0</v>
      </c>
    </row>
    <row r="1112" spans="1:16" x14ac:dyDescent="0.3">
      <c r="A1112" t="s">
        <v>65</v>
      </c>
      <c r="B1112" t="s">
        <v>21</v>
      </c>
      <c r="C1112" t="s">
        <v>62</v>
      </c>
      <c r="D1112" t="s">
        <v>15</v>
      </c>
      <c r="E1112" t="s">
        <v>75</v>
      </c>
      <c r="F1112" t="s">
        <v>9</v>
      </c>
      <c r="G1112" s="15">
        <v>107.45</v>
      </c>
      <c r="H1112" t="s">
        <v>27</v>
      </c>
      <c r="I1112">
        <v>3</v>
      </c>
      <c r="J1112" t="s">
        <v>47</v>
      </c>
      <c r="K1112" t="s">
        <v>45</v>
      </c>
      <c r="L1112" t="s">
        <v>45</v>
      </c>
      <c r="M1112" t="s">
        <v>64</v>
      </c>
      <c r="N1112" s="15">
        <v>126.9</v>
      </c>
      <c r="O1112" s="16">
        <v>-15.3</v>
      </c>
      <c r="P1112">
        <v>0</v>
      </c>
    </row>
    <row r="1113" spans="1:16" x14ac:dyDescent="0.3">
      <c r="A1113" t="s">
        <v>57</v>
      </c>
      <c r="B1113" t="s">
        <v>22</v>
      </c>
      <c r="C1113" t="s">
        <v>22</v>
      </c>
      <c r="D1113" t="s">
        <v>15</v>
      </c>
      <c r="E1113" t="s">
        <v>75</v>
      </c>
      <c r="F1113" t="s">
        <v>9</v>
      </c>
      <c r="G1113" s="15">
        <v>119.98</v>
      </c>
      <c r="H1113" t="s">
        <v>27</v>
      </c>
      <c r="I1113">
        <v>3</v>
      </c>
      <c r="J1113" t="s">
        <v>47</v>
      </c>
      <c r="K1113" t="s">
        <v>46</v>
      </c>
      <c r="L1113" t="s">
        <v>45</v>
      </c>
      <c r="M1113" t="s">
        <v>59</v>
      </c>
      <c r="N1113" s="15">
        <v>120.06</v>
      </c>
      <c r="O1113" s="16">
        <v>-0.1</v>
      </c>
      <c r="P1113">
        <v>0</v>
      </c>
    </row>
    <row r="1114" spans="1:16" x14ac:dyDescent="0.3">
      <c r="A1114" t="s">
        <v>65</v>
      </c>
      <c r="B1114" t="s">
        <v>17</v>
      </c>
      <c r="C1114" t="s">
        <v>17</v>
      </c>
      <c r="D1114" t="s">
        <v>12</v>
      </c>
      <c r="E1114" t="s">
        <v>80</v>
      </c>
      <c r="F1114" t="s">
        <v>13</v>
      </c>
      <c r="G1114" s="15">
        <v>162.62</v>
      </c>
      <c r="H1114" t="s">
        <v>27</v>
      </c>
      <c r="I1114">
        <v>3</v>
      </c>
      <c r="J1114" t="s">
        <v>47</v>
      </c>
      <c r="K1114" t="s">
        <v>45</v>
      </c>
      <c r="L1114" t="s">
        <v>45</v>
      </c>
      <c r="M1114" t="s">
        <v>61</v>
      </c>
      <c r="N1114" s="15">
        <v>176.57</v>
      </c>
      <c r="O1114" s="16">
        <v>-7.9</v>
      </c>
      <c r="P1114">
        <v>0</v>
      </c>
    </row>
    <row r="1115" spans="1:16" x14ac:dyDescent="0.3">
      <c r="A1115" t="s">
        <v>57</v>
      </c>
      <c r="B1115" t="s">
        <v>22</v>
      </c>
      <c r="C1115" t="s">
        <v>22</v>
      </c>
      <c r="D1115" t="s">
        <v>8</v>
      </c>
      <c r="E1115" t="s">
        <v>74</v>
      </c>
      <c r="F1115" t="s">
        <v>9</v>
      </c>
      <c r="G1115" s="15">
        <v>104.52</v>
      </c>
      <c r="H1115" t="s">
        <v>25</v>
      </c>
      <c r="I1115">
        <v>1</v>
      </c>
      <c r="J1115" t="s">
        <v>47</v>
      </c>
      <c r="K1115" t="s">
        <v>46</v>
      </c>
      <c r="L1115" t="s">
        <v>46</v>
      </c>
      <c r="M1115" t="s">
        <v>61</v>
      </c>
      <c r="N1115" s="15">
        <v>83.41</v>
      </c>
      <c r="O1115" s="16">
        <v>25.3</v>
      </c>
      <c r="P1115">
        <v>1</v>
      </c>
    </row>
    <row r="1116" spans="1:16" x14ac:dyDescent="0.3">
      <c r="A1116" t="s">
        <v>65</v>
      </c>
      <c r="B1116" t="s">
        <v>17</v>
      </c>
      <c r="C1116" t="s">
        <v>17</v>
      </c>
      <c r="D1116" t="s">
        <v>8</v>
      </c>
      <c r="E1116" t="s">
        <v>74</v>
      </c>
      <c r="F1116" t="s">
        <v>9</v>
      </c>
      <c r="G1116" s="15">
        <v>86.99</v>
      </c>
      <c r="H1116" t="s">
        <v>26</v>
      </c>
      <c r="I1116">
        <v>2</v>
      </c>
      <c r="J1116" t="s">
        <v>47</v>
      </c>
      <c r="K1116" t="s">
        <v>45</v>
      </c>
      <c r="L1116" t="s">
        <v>45</v>
      </c>
      <c r="M1116" t="s">
        <v>78</v>
      </c>
      <c r="N1116" s="15">
        <v>91.13</v>
      </c>
      <c r="O1116" s="16">
        <v>-4.5</v>
      </c>
      <c r="P1116">
        <v>0</v>
      </c>
    </row>
    <row r="1117" spans="1:16" x14ac:dyDescent="0.3">
      <c r="A1117" t="s">
        <v>65</v>
      </c>
      <c r="B1117" t="s">
        <v>21</v>
      </c>
      <c r="C1117" t="s">
        <v>62</v>
      </c>
      <c r="D1117" t="s">
        <v>15</v>
      </c>
      <c r="E1117" t="s">
        <v>75</v>
      </c>
      <c r="F1117" t="s">
        <v>9</v>
      </c>
      <c r="G1117" s="15">
        <v>128.63</v>
      </c>
      <c r="H1117" t="s">
        <v>25</v>
      </c>
      <c r="I1117">
        <v>1</v>
      </c>
      <c r="J1117" t="s">
        <v>44</v>
      </c>
      <c r="K1117" t="s">
        <v>45</v>
      </c>
      <c r="L1117" t="s">
        <v>45</v>
      </c>
      <c r="M1117" t="s">
        <v>59</v>
      </c>
      <c r="N1117" s="15">
        <v>126.9</v>
      </c>
      <c r="O1117" s="16">
        <v>1.4</v>
      </c>
      <c r="P1117">
        <v>0</v>
      </c>
    </row>
    <row r="1118" spans="1:16" x14ac:dyDescent="0.3">
      <c r="A1118" t="s">
        <v>57</v>
      </c>
      <c r="B1118" t="s">
        <v>22</v>
      </c>
      <c r="C1118" t="s">
        <v>22</v>
      </c>
      <c r="D1118" t="s">
        <v>8</v>
      </c>
      <c r="E1118" t="s">
        <v>73</v>
      </c>
      <c r="F1118" t="s">
        <v>9</v>
      </c>
      <c r="G1118" s="15">
        <v>95.59</v>
      </c>
      <c r="H1118" t="s">
        <v>26</v>
      </c>
      <c r="I1118">
        <v>2</v>
      </c>
      <c r="J1118" t="s">
        <v>48</v>
      </c>
      <c r="K1118" t="s">
        <v>45</v>
      </c>
      <c r="L1118" t="s">
        <v>45</v>
      </c>
      <c r="M1118" t="s">
        <v>72</v>
      </c>
      <c r="N1118" s="15">
        <v>86.06</v>
      </c>
      <c r="O1118" s="16">
        <v>11.1</v>
      </c>
      <c r="P1118">
        <v>0</v>
      </c>
    </row>
    <row r="1119" spans="1:16" x14ac:dyDescent="0.3">
      <c r="A1119" t="s">
        <v>57</v>
      </c>
      <c r="B1119" t="s">
        <v>21</v>
      </c>
      <c r="C1119" t="s">
        <v>62</v>
      </c>
      <c r="D1119" t="s">
        <v>8</v>
      </c>
      <c r="E1119" t="s">
        <v>74</v>
      </c>
      <c r="F1119" t="s">
        <v>9</v>
      </c>
      <c r="G1119" s="15">
        <v>84.76</v>
      </c>
      <c r="H1119" t="s">
        <v>25</v>
      </c>
      <c r="I1119">
        <v>1</v>
      </c>
      <c r="J1119" t="s">
        <v>48</v>
      </c>
      <c r="K1119" t="s">
        <v>45</v>
      </c>
      <c r="L1119" t="s">
        <v>45</v>
      </c>
      <c r="M1119" t="s">
        <v>61</v>
      </c>
      <c r="N1119" s="15">
        <v>83.41</v>
      </c>
      <c r="O1119" s="16">
        <v>1.6</v>
      </c>
      <c r="P1119">
        <v>0</v>
      </c>
    </row>
    <row r="1120" spans="1:16" x14ac:dyDescent="0.3">
      <c r="A1120" t="s">
        <v>57</v>
      </c>
      <c r="B1120" t="s">
        <v>21</v>
      </c>
      <c r="C1120" t="s">
        <v>62</v>
      </c>
      <c r="D1120" t="s">
        <v>12</v>
      </c>
      <c r="E1120" t="s">
        <v>66</v>
      </c>
      <c r="F1120" t="s">
        <v>13</v>
      </c>
      <c r="G1120" s="15">
        <v>156.30000000000001</v>
      </c>
      <c r="H1120" t="s">
        <v>27</v>
      </c>
      <c r="I1120">
        <v>3</v>
      </c>
      <c r="J1120" t="s">
        <v>48</v>
      </c>
      <c r="K1120" t="s">
        <v>46</v>
      </c>
      <c r="L1120" t="s">
        <v>46</v>
      </c>
      <c r="M1120" t="s">
        <v>64</v>
      </c>
      <c r="N1120" s="15">
        <v>170.56</v>
      </c>
      <c r="O1120" s="16">
        <v>-8.4</v>
      </c>
      <c r="P1120">
        <v>0</v>
      </c>
    </row>
    <row r="1121" spans="1:16" x14ac:dyDescent="0.3">
      <c r="A1121" t="s">
        <v>65</v>
      </c>
      <c r="B1121" t="s">
        <v>21</v>
      </c>
      <c r="C1121" t="s">
        <v>62</v>
      </c>
      <c r="D1121" t="s">
        <v>15</v>
      </c>
      <c r="E1121" t="s">
        <v>76</v>
      </c>
      <c r="F1121" t="s">
        <v>9</v>
      </c>
      <c r="G1121" s="15">
        <v>112.33</v>
      </c>
      <c r="H1121" t="s">
        <v>26</v>
      </c>
      <c r="I1121">
        <v>2</v>
      </c>
      <c r="J1121" t="s">
        <v>47</v>
      </c>
      <c r="K1121" t="s">
        <v>46</v>
      </c>
      <c r="L1121" t="s">
        <v>45</v>
      </c>
      <c r="M1121" t="s">
        <v>59</v>
      </c>
      <c r="N1121" s="15">
        <v>126.51</v>
      </c>
      <c r="O1121" s="16">
        <v>-11.2</v>
      </c>
      <c r="P1121">
        <v>0</v>
      </c>
    </row>
    <row r="1122" spans="1:16" x14ac:dyDescent="0.3">
      <c r="A1122" t="s">
        <v>65</v>
      </c>
      <c r="B1122" t="s">
        <v>19</v>
      </c>
      <c r="C1122" t="s">
        <v>19</v>
      </c>
      <c r="D1122" t="s">
        <v>12</v>
      </c>
      <c r="E1122" t="s">
        <v>80</v>
      </c>
      <c r="F1122" t="s">
        <v>13</v>
      </c>
      <c r="G1122" s="15">
        <v>194.51</v>
      </c>
      <c r="H1122" t="s">
        <v>26</v>
      </c>
      <c r="I1122">
        <v>2</v>
      </c>
      <c r="J1122" t="s">
        <v>47</v>
      </c>
      <c r="K1122" t="s">
        <v>45</v>
      </c>
      <c r="L1122" t="s">
        <v>45</v>
      </c>
      <c r="M1122" t="s">
        <v>68</v>
      </c>
      <c r="N1122" s="15">
        <v>176.57</v>
      </c>
      <c r="O1122" s="16">
        <v>10.199999999999999</v>
      </c>
      <c r="P1122">
        <v>0</v>
      </c>
    </row>
    <row r="1123" spans="1:16" x14ac:dyDescent="0.3">
      <c r="A1123" t="s">
        <v>57</v>
      </c>
      <c r="B1123" t="s">
        <v>20</v>
      </c>
      <c r="C1123" t="s">
        <v>20</v>
      </c>
      <c r="D1123" t="s">
        <v>8</v>
      </c>
      <c r="E1123" t="s">
        <v>74</v>
      </c>
      <c r="F1123" t="s">
        <v>9</v>
      </c>
      <c r="G1123" s="15">
        <v>114.31</v>
      </c>
      <c r="H1123" t="s">
        <v>26</v>
      </c>
      <c r="I1123">
        <v>2</v>
      </c>
      <c r="J1123" t="s">
        <v>47</v>
      </c>
      <c r="K1123" t="s">
        <v>45</v>
      </c>
      <c r="L1123" t="s">
        <v>46</v>
      </c>
      <c r="M1123" t="s">
        <v>72</v>
      </c>
      <c r="N1123" s="15">
        <v>83.41</v>
      </c>
      <c r="O1123" s="16">
        <v>37</v>
      </c>
      <c r="P1123">
        <v>1</v>
      </c>
    </row>
    <row r="1124" spans="1:16" x14ac:dyDescent="0.3">
      <c r="A1124" t="s">
        <v>65</v>
      </c>
      <c r="B1124" t="s">
        <v>19</v>
      </c>
      <c r="C1124" t="s">
        <v>19</v>
      </c>
      <c r="D1124" t="s">
        <v>14</v>
      </c>
      <c r="E1124" t="s">
        <v>63</v>
      </c>
      <c r="F1124" t="s">
        <v>9</v>
      </c>
      <c r="G1124" s="15">
        <v>65.739999999999995</v>
      </c>
      <c r="H1124" t="s">
        <v>27</v>
      </c>
      <c r="I1124">
        <v>3</v>
      </c>
      <c r="J1124" t="s">
        <v>47</v>
      </c>
      <c r="K1124" t="s">
        <v>46</v>
      </c>
      <c r="L1124" t="s">
        <v>45</v>
      </c>
      <c r="M1124" t="s">
        <v>59</v>
      </c>
      <c r="N1124" s="15">
        <v>68.150000000000006</v>
      </c>
      <c r="O1124" s="16">
        <v>-3.5</v>
      </c>
      <c r="P1124">
        <v>0</v>
      </c>
    </row>
    <row r="1125" spans="1:16" x14ac:dyDescent="0.3">
      <c r="A1125" t="s">
        <v>65</v>
      </c>
      <c r="B1125" t="s">
        <v>21</v>
      </c>
      <c r="C1125" t="s">
        <v>62</v>
      </c>
      <c r="D1125" t="s">
        <v>10</v>
      </c>
      <c r="E1125" t="s">
        <v>69</v>
      </c>
      <c r="F1125" t="s">
        <v>9</v>
      </c>
      <c r="G1125" s="15">
        <v>181.7</v>
      </c>
      <c r="H1125" t="s">
        <v>25</v>
      </c>
      <c r="I1125">
        <v>1</v>
      </c>
      <c r="J1125" t="s">
        <v>44</v>
      </c>
      <c r="K1125" t="s">
        <v>46</v>
      </c>
      <c r="L1125" t="s">
        <v>45</v>
      </c>
      <c r="M1125" t="s">
        <v>67</v>
      </c>
      <c r="N1125" s="15">
        <v>158.91999999999999</v>
      </c>
      <c r="O1125" s="16">
        <v>14.3</v>
      </c>
      <c r="P1125">
        <v>0</v>
      </c>
    </row>
    <row r="1126" spans="1:16" x14ac:dyDescent="0.3">
      <c r="A1126" t="s">
        <v>60</v>
      </c>
      <c r="B1126" t="s">
        <v>21</v>
      </c>
      <c r="C1126" t="s">
        <v>62</v>
      </c>
      <c r="D1126" t="s">
        <v>8</v>
      </c>
      <c r="E1126" t="s">
        <v>73</v>
      </c>
      <c r="F1126" t="s">
        <v>9</v>
      </c>
      <c r="G1126" s="15">
        <v>101.79</v>
      </c>
      <c r="H1126" t="s">
        <v>25</v>
      </c>
      <c r="I1126">
        <v>1</v>
      </c>
      <c r="J1126" t="s">
        <v>47</v>
      </c>
      <c r="K1126" t="s">
        <v>46</v>
      </c>
      <c r="L1126" t="s">
        <v>46</v>
      </c>
      <c r="M1126" t="s">
        <v>64</v>
      </c>
      <c r="N1126" s="15">
        <v>82.04</v>
      </c>
      <c r="O1126" s="16">
        <v>24.1</v>
      </c>
      <c r="P1126">
        <v>1</v>
      </c>
    </row>
    <row r="1127" spans="1:16" x14ac:dyDescent="0.3">
      <c r="A1127" t="s">
        <v>65</v>
      </c>
      <c r="B1127" t="s">
        <v>21</v>
      </c>
      <c r="C1127" t="s">
        <v>62</v>
      </c>
      <c r="D1127" t="s">
        <v>14</v>
      </c>
      <c r="E1127" t="s">
        <v>71</v>
      </c>
      <c r="F1127" t="s">
        <v>9</v>
      </c>
      <c r="G1127" s="15">
        <v>64.52</v>
      </c>
      <c r="H1127" t="s">
        <v>27</v>
      </c>
      <c r="I1127">
        <v>3</v>
      </c>
      <c r="J1127" t="s">
        <v>47</v>
      </c>
      <c r="K1127" t="s">
        <v>46</v>
      </c>
      <c r="L1127" t="s">
        <v>45</v>
      </c>
      <c r="M1127" t="s">
        <v>72</v>
      </c>
      <c r="N1127" s="15">
        <v>71.77</v>
      </c>
      <c r="O1127" s="16">
        <v>-10.1</v>
      </c>
      <c r="P1127">
        <v>0</v>
      </c>
    </row>
    <row r="1128" spans="1:16" x14ac:dyDescent="0.3">
      <c r="A1128" t="s">
        <v>65</v>
      </c>
      <c r="B1128" t="s">
        <v>22</v>
      </c>
      <c r="C1128" t="s">
        <v>22</v>
      </c>
      <c r="D1128" t="s">
        <v>8</v>
      </c>
      <c r="E1128" t="s">
        <v>73</v>
      </c>
      <c r="F1128" t="s">
        <v>9</v>
      </c>
      <c r="G1128" s="15">
        <v>78.459999999999994</v>
      </c>
      <c r="H1128" t="s">
        <v>26</v>
      </c>
      <c r="I1128">
        <v>2</v>
      </c>
      <c r="J1128" t="s">
        <v>47</v>
      </c>
      <c r="K1128" t="s">
        <v>45</v>
      </c>
      <c r="L1128" t="s">
        <v>45</v>
      </c>
      <c r="M1128" t="s">
        <v>78</v>
      </c>
      <c r="N1128" s="15">
        <v>88.05</v>
      </c>
      <c r="O1128" s="16">
        <v>-10.9</v>
      </c>
      <c r="P1128">
        <v>0</v>
      </c>
    </row>
    <row r="1129" spans="1:16" x14ac:dyDescent="0.3">
      <c r="A1129" t="s">
        <v>65</v>
      </c>
      <c r="B1129" t="s">
        <v>17</v>
      </c>
      <c r="C1129" t="s">
        <v>17</v>
      </c>
      <c r="D1129" t="s">
        <v>14</v>
      </c>
      <c r="E1129" t="s">
        <v>77</v>
      </c>
      <c r="F1129" t="s">
        <v>9</v>
      </c>
      <c r="G1129" s="15">
        <v>66.25</v>
      </c>
      <c r="H1129" t="s">
        <v>26</v>
      </c>
      <c r="I1129">
        <v>2</v>
      </c>
      <c r="J1129" t="s">
        <v>48</v>
      </c>
      <c r="K1129" t="s">
        <v>45</v>
      </c>
      <c r="L1129" t="s">
        <v>45</v>
      </c>
      <c r="M1129" t="s">
        <v>68</v>
      </c>
      <c r="N1129" s="15">
        <v>70.66</v>
      </c>
      <c r="O1129" s="16">
        <v>-6.2</v>
      </c>
      <c r="P1129">
        <v>0</v>
      </c>
    </row>
    <row r="1130" spans="1:16" x14ac:dyDescent="0.3">
      <c r="A1130" t="s">
        <v>65</v>
      </c>
      <c r="B1130" t="s">
        <v>21</v>
      </c>
      <c r="C1130" t="s">
        <v>62</v>
      </c>
      <c r="D1130" t="s">
        <v>10</v>
      </c>
      <c r="E1130" t="s">
        <v>69</v>
      </c>
      <c r="F1130" t="s">
        <v>9</v>
      </c>
      <c r="G1130" s="15">
        <v>154.18</v>
      </c>
      <c r="H1130" t="s">
        <v>26</v>
      </c>
      <c r="I1130">
        <v>2</v>
      </c>
      <c r="J1130" t="s">
        <v>47</v>
      </c>
      <c r="K1130" t="s">
        <v>46</v>
      </c>
      <c r="L1130" t="s">
        <v>45</v>
      </c>
      <c r="M1130" t="s">
        <v>72</v>
      </c>
      <c r="N1130" s="15">
        <v>158.91999999999999</v>
      </c>
      <c r="O1130" s="16">
        <v>-3</v>
      </c>
      <c r="P1130">
        <v>0</v>
      </c>
    </row>
    <row r="1131" spans="1:16" x14ac:dyDescent="0.3">
      <c r="A1131" t="s">
        <v>60</v>
      </c>
      <c r="B1131" t="s">
        <v>20</v>
      </c>
      <c r="C1131" t="s">
        <v>20</v>
      </c>
      <c r="D1131" t="s">
        <v>10</v>
      </c>
      <c r="E1131" t="s">
        <v>58</v>
      </c>
      <c r="F1131" t="s">
        <v>9</v>
      </c>
      <c r="G1131" s="15">
        <v>114.03</v>
      </c>
      <c r="H1131" t="s">
        <v>26</v>
      </c>
      <c r="I1131">
        <v>2</v>
      </c>
      <c r="J1131" t="s">
        <v>48</v>
      </c>
      <c r="K1131" t="s">
        <v>45</v>
      </c>
      <c r="L1131" t="s">
        <v>45</v>
      </c>
      <c r="M1131" t="s">
        <v>61</v>
      </c>
      <c r="N1131" s="15">
        <v>152.03</v>
      </c>
      <c r="O1131" s="16">
        <v>-25</v>
      </c>
      <c r="P1131">
        <v>0</v>
      </c>
    </row>
    <row r="1132" spans="1:16" x14ac:dyDescent="0.3">
      <c r="A1132" t="s">
        <v>57</v>
      </c>
      <c r="B1132" t="s">
        <v>21</v>
      </c>
      <c r="C1132" t="s">
        <v>62</v>
      </c>
      <c r="D1132" t="s">
        <v>8</v>
      </c>
      <c r="E1132" t="s">
        <v>74</v>
      </c>
      <c r="F1132" t="s">
        <v>9</v>
      </c>
      <c r="G1132" s="15">
        <v>107.22</v>
      </c>
      <c r="H1132" t="s">
        <v>25</v>
      </c>
      <c r="I1132">
        <v>1</v>
      </c>
      <c r="J1132" t="s">
        <v>47</v>
      </c>
      <c r="K1132" t="s">
        <v>46</v>
      </c>
      <c r="L1132" t="s">
        <v>45</v>
      </c>
      <c r="M1132" t="s">
        <v>59</v>
      </c>
      <c r="N1132" s="15">
        <v>83.41</v>
      </c>
      <c r="O1132" s="16">
        <v>28.5</v>
      </c>
      <c r="P1132">
        <v>1</v>
      </c>
    </row>
    <row r="1133" spans="1:16" x14ac:dyDescent="0.3">
      <c r="A1133" t="s">
        <v>57</v>
      </c>
      <c r="B1133" t="s">
        <v>22</v>
      </c>
      <c r="C1133" t="s">
        <v>22</v>
      </c>
      <c r="D1133" t="s">
        <v>12</v>
      </c>
      <c r="E1133" t="s">
        <v>66</v>
      </c>
      <c r="F1133" t="s">
        <v>13</v>
      </c>
      <c r="G1133" s="15">
        <v>166.19</v>
      </c>
      <c r="H1133" t="s">
        <v>26</v>
      </c>
      <c r="I1133">
        <v>2</v>
      </c>
      <c r="J1133" t="s">
        <v>47</v>
      </c>
      <c r="K1133" t="s">
        <v>45</v>
      </c>
      <c r="L1133" t="s">
        <v>45</v>
      </c>
      <c r="M1133" t="s">
        <v>78</v>
      </c>
      <c r="N1133" s="15">
        <v>170.56</v>
      </c>
      <c r="O1133" s="16">
        <v>-2.6</v>
      </c>
      <c r="P1133">
        <v>0</v>
      </c>
    </row>
    <row r="1134" spans="1:16" x14ac:dyDescent="0.3">
      <c r="A1134" t="s">
        <v>57</v>
      </c>
      <c r="B1134" t="s">
        <v>20</v>
      </c>
      <c r="C1134" t="s">
        <v>20</v>
      </c>
      <c r="D1134" t="s">
        <v>11</v>
      </c>
      <c r="E1134" t="s">
        <v>79</v>
      </c>
      <c r="F1134" t="s">
        <v>9</v>
      </c>
      <c r="G1134" s="15">
        <v>29.49</v>
      </c>
      <c r="H1134" t="s">
        <v>26</v>
      </c>
      <c r="I1134">
        <v>2</v>
      </c>
      <c r="J1134" t="s">
        <v>48</v>
      </c>
      <c r="K1134" t="s">
        <v>46</v>
      </c>
      <c r="L1134" t="s">
        <v>45</v>
      </c>
      <c r="M1134" t="s">
        <v>78</v>
      </c>
      <c r="N1134" s="15">
        <v>30.93</v>
      </c>
      <c r="O1134" s="16">
        <v>-4.7</v>
      </c>
      <c r="P1134">
        <v>0</v>
      </c>
    </row>
    <row r="1135" spans="1:16" x14ac:dyDescent="0.3">
      <c r="A1135" t="s">
        <v>60</v>
      </c>
      <c r="B1135" t="s">
        <v>21</v>
      </c>
      <c r="C1135" t="s">
        <v>62</v>
      </c>
      <c r="D1135" t="s">
        <v>11</v>
      </c>
      <c r="E1135" t="s">
        <v>70</v>
      </c>
      <c r="F1135" t="s">
        <v>9</v>
      </c>
      <c r="G1135" s="15">
        <v>33.18</v>
      </c>
      <c r="H1135" t="s">
        <v>27</v>
      </c>
      <c r="I1135">
        <v>3</v>
      </c>
      <c r="J1135" t="s">
        <v>48</v>
      </c>
      <c r="K1135" t="s">
        <v>46</v>
      </c>
      <c r="L1135" t="s">
        <v>45</v>
      </c>
      <c r="M1135" t="s">
        <v>72</v>
      </c>
      <c r="N1135" s="15">
        <v>31.4</v>
      </c>
      <c r="O1135" s="16">
        <v>5.7</v>
      </c>
      <c r="P1135">
        <v>0</v>
      </c>
    </row>
    <row r="1136" spans="1:16" x14ac:dyDescent="0.3">
      <c r="A1136" t="s">
        <v>60</v>
      </c>
      <c r="B1136" t="s">
        <v>22</v>
      </c>
      <c r="C1136" t="s">
        <v>22</v>
      </c>
      <c r="D1136" t="s">
        <v>15</v>
      </c>
      <c r="E1136" t="s">
        <v>75</v>
      </c>
      <c r="F1136" t="s">
        <v>9</v>
      </c>
      <c r="G1136" s="15">
        <v>133.07</v>
      </c>
      <c r="H1136" t="s">
        <v>26</v>
      </c>
      <c r="I1136">
        <v>2</v>
      </c>
      <c r="J1136" t="s">
        <v>47</v>
      </c>
      <c r="K1136" t="s">
        <v>45</v>
      </c>
      <c r="L1136" t="s">
        <v>45</v>
      </c>
      <c r="M1136" t="s">
        <v>67</v>
      </c>
      <c r="N1136" s="15">
        <v>119</v>
      </c>
      <c r="O1136" s="16">
        <v>11.8</v>
      </c>
      <c r="P1136">
        <v>0</v>
      </c>
    </row>
    <row r="1137" spans="1:16" x14ac:dyDescent="0.3">
      <c r="A1137" t="s">
        <v>60</v>
      </c>
      <c r="B1137" t="s">
        <v>21</v>
      </c>
      <c r="C1137" t="s">
        <v>62</v>
      </c>
      <c r="D1137" t="s">
        <v>14</v>
      </c>
      <c r="E1137" t="s">
        <v>63</v>
      </c>
      <c r="F1137" t="s">
        <v>9</v>
      </c>
      <c r="G1137" s="15">
        <v>79.72</v>
      </c>
      <c r="H1137" t="s">
        <v>25</v>
      </c>
      <c r="I1137">
        <v>1</v>
      </c>
      <c r="J1137" t="s">
        <v>48</v>
      </c>
      <c r="K1137" t="s">
        <v>45</v>
      </c>
      <c r="L1137" t="s">
        <v>46</v>
      </c>
      <c r="M1137" t="s">
        <v>64</v>
      </c>
      <c r="N1137" s="15">
        <v>66.680000000000007</v>
      </c>
      <c r="O1137" s="16">
        <v>19.600000000000001</v>
      </c>
      <c r="P1137">
        <v>1</v>
      </c>
    </row>
    <row r="1138" spans="1:16" x14ac:dyDescent="0.3">
      <c r="A1138" t="s">
        <v>65</v>
      </c>
      <c r="B1138" t="s">
        <v>22</v>
      </c>
      <c r="C1138" t="s">
        <v>22</v>
      </c>
      <c r="D1138" t="s">
        <v>8</v>
      </c>
      <c r="E1138" t="s">
        <v>73</v>
      </c>
      <c r="F1138" t="s">
        <v>9</v>
      </c>
      <c r="G1138" s="15">
        <v>107.33</v>
      </c>
      <c r="H1138" t="s">
        <v>26</v>
      </c>
      <c r="I1138">
        <v>2</v>
      </c>
      <c r="J1138" t="s">
        <v>48</v>
      </c>
      <c r="K1138" t="s">
        <v>45</v>
      </c>
      <c r="L1138" t="s">
        <v>46</v>
      </c>
      <c r="M1138" t="s">
        <v>68</v>
      </c>
      <c r="N1138" s="15">
        <v>88.05</v>
      </c>
      <c r="O1138" s="16">
        <v>21.9</v>
      </c>
      <c r="P1138">
        <v>1</v>
      </c>
    </row>
    <row r="1139" spans="1:16" x14ac:dyDescent="0.3">
      <c r="A1139" t="s">
        <v>60</v>
      </c>
      <c r="B1139" t="s">
        <v>19</v>
      </c>
      <c r="C1139" t="s">
        <v>19</v>
      </c>
      <c r="D1139" t="s">
        <v>14</v>
      </c>
      <c r="E1139" t="s">
        <v>63</v>
      </c>
      <c r="F1139" t="s">
        <v>9</v>
      </c>
      <c r="G1139" s="15">
        <v>76.64</v>
      </c>
      <c r="H1139" t="s">
        <v>26</v>
      </c>
      <c r="I1139">
        <v>2</v>
      </c>
      <c r="J1139" t="s">
        <v>47</v>
      </c>
      <c r="K1139" t="s">
        <v>45</v>
      </c>
      <c r="L1139" t="s">
        <v>45</v>
      </c>
      <c r="M1139" t="s">
        <v>78</v>
      </c>
      <c r="N1139" s="15">
        <v>66.680000000000007</v>
      </c>
      <c r="O1139" s="16">
        <v>14.9</v>
      </c>
      <c r="P1139">
        <v>0</v>
      </c>
    </row>
    <row r="1140" spans="1:16" x14ac:dyDescent="0.3">
      <c r="A1140" t="s">
        <v>65</v>
      </c>
      <c r="B1140" t="s">
        <v>17</v>
      </c>
      <c r="C1140" t="s">
        <v>17</v>
      </c>
      <c r="D1140" t="s">
        <v>12</v>
      </c>
      <c r="E1140" t="s">
        <v>80</v>
      </c>
      <c r="F1140" t="s">
        <v>13</v>
      </c>
      <c r="G1140" s="15">
        <v>181.06</v>
      </c>
      <c r="H1140" t="s">
        <v>26</v>
      </c>
      <c r="I1140">
        <v>2</v>
      </c>
      <c r="J1140" t="s">
        <v>48</v>
      </c>
      <c r="K1140" t="s">
        <v>45</v>
      </c>
      <c r="L1140" t="s">
        <v>46</v>
      </c>
      <c r="M1140" t="s">
        <v>64</v>
      </c>
      <c r="N1140" s="15">
        <v>176.57</v>
      </c>
      <c r="O1140" s="16">
        <v>2.5</v>
      </c>
      <c r="P1140">
        <v>0</v>
      </c>
    </row>
    <row r="1141" spans="1:16" x14ac:dyDescent="0.3">
      <c r="A1141" t="s">
        <v>65</v>
      </c>
      <c r="B1141" t="s">
        <v>18</v>
      </c>
      <c r="C1141" t="s">
        <v>18</v>
      </c>
      <c r="D1141" t="s">
        <v>8</v>
      </c>
      <c r="E1141" t="s">
        <v>73</v>
      </c>
      <c r="F1141" t="s">
        <v>9</v>
      </c>
      <c r="G1141" s="15">
        <v>62.26</v>
      </c>
      <c r="H1141" t="s">
        <v>26</v>
      </c>
      <c r="I1141">
        <v>2</v>
      </c>
      <c r="J1141" t="s">
        <v>48</v>
      </c>
      <c r="K1141" t="s">
        <v>46</v>
      </c>
      <c r="L1141" t="s">
        <v>45</v>
      </c>
      <c r="M1141" t="s">
        <v>64</v>
      </c>
      <c r="N1141" s="15">
        <v>88.05</v>
      </c>
      <c r="O1141" s="16">
        <v>-29.3</v>
      </c>
      <c r="P1141">
        <v>0</v>
      </c>
    </row>
    <row r="1142" spans="1:16" x14ac:dyDescent="0.3">
      <c r="A1142" t="s">
        <v>57</v>
      </c>
      <c r="B1142" t="s">
        <v>21</v>
      </c>
      <c r="C1142" t="s">
        <v>62</v>
      </c>
      <c r="D1142" t="s">
        <v>14</v>
      </c>
      <c r="E1142" t="s">
        <v>77</v>
      </c>
      <c r="F1142" t="s">
        <v>9</v>
      </c>
      <c r="G1142" s="15">
        <v>66.709999999999994</v>
      </c>
      <c r="H1142" t="s">
        <v>25</v>
      </c>
      <c r="I1142">
        <v>1</v>
      </c>
      <c r="J1142" t="s">
        <v>47</v>
      </c>
      <c r="K1142" t="s">
        <v>46</v>
      </c>
      <c r="L1142" t="s">
        <v>45</v>
      </c>
      <c r="M1142" t="s">
        <v>78</v>
      </c>
      <c r="N1142" s="15">
        <v>65.97</v>
      </c>
      <c r="O1142" s="16">
        <v>1.1000000000000001</v>
      </c>
      <c r="P1142">
        <v>0</v>
      </c>
    </row>
    <row r="1143" spans="1:16" x14ac:dyDescent="0.3">
      <c r="A1143" t="s">
        <v>57</v>
      </c>
      <c r="B1143" t="s">
        <v>21</v>
      </c>
      <c r="C1143" t="s">
        <v>62</v>
      </c>
      <c r="D1143" t="s">
        <v>11</v>
      </c>
      <c r="E1143" t="s">
        <v>79</v>
      </c>
      <c r="F1143" t="s">
        <v>9</v>
      </c>
      <c r="G1143" s="15">
        <v>32.99</v>
      </c>
      <c r="H1143" t="s">
        <v>26</v>
      </c>
      <c r="I1143">
        <v>2</v>
      </c>
      <c r="J1143" t="s">
        <v>47</v>
      </c>
      <c r="K1143" t="s">
        <v>45</v>
      </c>
      <c r="L1143" t="s">
        <v>45</v>
      </c>
      <c r="M1143" t="s">
        <v>61</v>
      </c>
      <c r="N1143" s="15">
        <v>30.93</v>
      </c>
      <c r="O1143" s="16">
        <v>6.7</v>
      </c>
      <c r="P1143">
        <v>0</v>
      </c>
    </row>
    <row r="1144" spans="1:16" x14ac:dyDescent="0.3">
      <c r="A1144" t="s">
        <v>65</v>
      </c>
      <c r="B1144" t="s">
        <v>21</v>
      </c>
      <c r="C1144" t="s">
        <v>62</v>
      </c>
      <c r="D1144" t="s">
        <v>14</v>
      </c>
      <c r="E1144" t="s">
        <v>63</v>
      </c>
      <c r="F1144" t="s">
        <v>9</v>
      </c>
      <c r="G1144" s="15">
        <v>64.44</v>
      </c>
      <c r="H1144" t="s">
        <v>27</v>
      </c>
      <c r="I1144">
        <v>3</v>
      </c>
      <c r="J1144" t="s">
        <v>48</v>
      </c>
      <c r="K1144" t="s">
        <v>45</v>
      </c>
      <c r="L1144" t="s">
        <v>45</v>
      </c>
      <c r="M1144" t="s">
        <v>68</v>
      </c>
      <c r="N1144" s="15">
        <v>68.150000000000006</v>
      </c>
      <c r="O1144" s="16">
        <v>-5.4</v>
      </c>
      <c r="P1144">
        <v>0</v>
      </c>
    </row>
    <row r="1145" spans="1:16" x14ac:dyDescent="0.3">
      <c r="A1145" t="s">
        <v>65</v>
      </c>
      <c r="B1145" t="s">
        <v>17</v>
      </c>
      <c r="C1145" t="s">
        <v>17</v>
      </c>
      <c r="D1145" t="s">
        <v>14</v>
      </c>
      <c r="E1145" t="s">
        <v>77</v>
      </c>
      <c r="F1145" t="s">
        <v>9</v>
      </c>
      <c r="G1145" s="15">
        <v>57.63</v>
      </c>
      <c r="H1145" t="s">
        <v>26</v>
      </c>
      <c r="I1145">
        <v>2</v>
      </c>
      <c r="J1145" t="s">
        <v>48</v>
      </c>
      <c r="K1145" t="s">
        <v>46</v>
      </c>
      <c r="L1145" t="s">
        <v>45</v>
      </c>
      <c r="M1145" t="s">
        <v>72</v>
      </c>
      <c r="N1145" s="15">
        <v>70.66</v>
      </c>
      <c r="O1145" s="16">
        <v>-18.399999999999999</v>
      </c>
      <c r="P1145">
        <v>0</v>
      </c>
    </row>
    <row r="1146" spans="1:16" x14ac:dyDescent="0.3">
      <c r="A1146" t="s">
        <v>60</v>
      </c>
      <c r="B1146" t="s">
        <v>21</v>
      </c>
      <c r="C1146" t="s">
        <v>62</v>
      </c>
      <c r="D1146" t="s">
        <v>11</v>
      </c>
      <c r="E1146" t="s">
        <v>70</v>
      </c>
      <c r="F1146" t="s">
        <v>9</v>
      </c>
      <c r="G1146" s="15">
        <v>30.62</v>
      </c>
      <c r="H1146" t="s">
        <v>26</v>
      </c>
      <c r="I1146">
        <v>2</v>
      </c>
      <c r="J1146" t="s">
        <v>48</v>
      </c>
      <c r="K1146" t="s">
        <v>45</v>
      </c>
      <c r="L1146" t="s">
        <v>45</v>
      </c>
      <c r="M1146" t="s">
        <v>68</v>
      </c>
      <c r="N1146" s="15">
        <v>31.4</v>
      </c>
      <c r="O1146" s="16">
        <v>-2.5</v>
      </c>
      <c r="P1146">
        <v>0</v>
      </c>
    </row>
    <row r="1147" spans="1:16" x14ac:dyDescent="0.3">
      <c r="A1147" t="s">
        <v>65</v>
      </c>
      <c r="B1147" t="s">
        <v>22</v>
      </c>
      <c r="C1147" t="s">
        <v>22</v>
      </c>
      <c r="D1147" t="s">
        <v>14</v>
      </c>
      <c r="E1147" t="s">
        <v>63</v>
      </c>
      <c r="F1147" t="s">
        <v>9</v>
      </c>
      <c r="G1147" s="15">
        <v>70.69</v>
      </c>
      <c r="H1147" t="s">
        <v>26</v>
      </c>
      <c r="I1147">
        <v>2</v>
      </c>
      <c r="J1147" t="s">
        <v>47</v>
      </c>
      <c r="K1147" t="s">
        <v>46</v>
      </c>
      <c r="L1147" t="s">
        <v>45</v>
      </c>
      <c r="M1147" t="s">
        <v>67</v>
      </c>
      <c r="N1147" s="15">
        <v>68.150000000000006</v>
      </c>
      <c r="O1147" s="16">
        <v>3.7</v>
      </c>
      <c r="P1147">
        <v>0</v>
      </c>
    </row>
    <row r="1148" spans="1:16" x14ac:dyDescent="0.3">
      <c r="A1148" t="s">
        <v>60</v>
      </c>
      <c r="B1148" t="s">
        <v>21</v>
      </c>
      <c r="C1148" t="s">
        <v>62</v>
      </c>
      <c r="D1148" t="s">
        <v>11</v>
      </c>
      <c r="E1148" t="s">
        <v>79</v>
      </c>
      <c r="F1148" t="s">
        <v>9</v>
      </c>
      <c r="G1148" s="15">
        <v>29.04</v>
      </c>
      <c r="H1148" t="s">
        <v>26</v>
      </c>
      <c r="I1148">
        <v>2</v>
      </c>
      <c r="J1148" t="s">
        <v>48</v>
      </c>
      <c r="K1148" t="s">
        <v>46</v>
      </c>
      <c r="L1148" t="s">
        <v>45</v>
      </c>
      <c r="M1148" t="s">
        <v>59</v>
      </c>
      <c r="N1148" s="15">
        <v>29.14</v>
      </c>
      <c r="O1148" s="16">
        <v>-0.4</v>
      </c>
      <c r="P1148">
        <v>0</v>
      </c>
    </row>
    <row r="1149" spans="1:16" x14ac:dyDescent="0.3">
      <c r="A1149" t="s">
        <v>65</v>
      </c>
      <c r="B1149" t="s">
        <v>19</v>
      </c>
      <c r="C1149" t="s">
        <v>19</v>
      </c>
      <c r="D1149" t="s">
        <v>8</v>
      </c>
      <c r="E1149" t="s">
        <v>74</v>
      </c>
      <c r="F1149" t="s">
        <v>9</v>
      </c>
      <c r="G1149" s="15">
        <v>120</v>
      </c>
      <c r="H1149" t="s">
        <v>26</v>
      </c>
      <c r="I1149">
        <v>2</v>
      </c>
      <c r="J1149" t="s">
        <v>44</v>
      </c>
      <c r="K1149" t="s">
        <v>45</v>
      </c>
      <c r="L1149" t="s">
        <v>46</v>
      </c>
      <c r="M1149" t="s">
        <v>67</v>
      </c>
      <c r="N1149" s="15">
        <v>91.13</v>
      </c>
      <c r="O1149" s="16">
        <v>31.7</v>
      </c>
      <c r="P1149">
        <v>1</v>
      </c>
    </row>
    <row r="1150" spans="1:16" x14ac:dyDescent="0.3">
      <c r="A1150" t="s">
        <v>65</v>
      </c>
      <c r="B1150" t="s">
        <v>21</v>
      </c>
      <c r="C1150" t="s">
        <v>62</v>
      </c>
      <c r="D1150" t="s">
        <v>14</v>
      </c>
      <c r="E1150" t="s">
        <v>63</v>
      </c>
      <c r="F1150" t="s">
        <v>9</v>
      </c>
      <c r="G1150" s="15">
        <v>75.290000000000006</v>
      </c>
      <c r="H1150" t="s">
        <v>25</v>
      </c>
      <c r="I1150">
        <v>1</v>
      </c>
      <c r="J1150" t="s">
        <v>47</v>
      </c>
      <c r="K1150" t="s">
        <v>45</v>
      </c>
      <c r="L1150" t="s">
        <v>45</v>
      </c>
      <c r="M1150" t="s">
        <v>61</v>
      </c>
      <c r="N1150" s="15">
        <v>68.150000000000006</v>
      </c>
      <c r="O1150" s="16">
        <v>10.5</v>
      </c>
      <c r="P1150">
        <v>0</v>
      </c>
    </row>
    <row r="1151" spans="1:16" x14ac:dyDescent="0.3">
      <c r="A1151" t="s">
        <v>57</v>
      </c>
      <c r="B1151" t="s">
        <v>17</v>
      </c>
      <c r="C1151" t="s">
        <v>17</v>
      </c>
      <c r="D1151" t="s">
        <v>14</v>
      </c>
      <c r="E1151" t="s">
        <v>77</v>
      </c>
      <c r="F1151" t="s">
        <v>9</v>
      </c>
      <c r="G1151" s="15">
        <v>70.17</v>
      </c>
      <c r="H1151" t="s">
        <v>26</v>
      </c>
      <c r="I1151">
        <v>2</v>
      </c>
      <c r="J1151" t="s">
        <v>48</v>
      </c>
      <c r="K1151" t="s">
        <v>45</v>
      </c>
      <c r="L1151" t="s">
        <v>45</v>
      </c>
      <c r="M1151" t="s">
        <v>72</v>
      </c>
      <c r="N1151" s="15">
        <v>65.97</v>
      </c>
      <c r="O1151" s="16">
        <v>6.4</v>
      </c>
      <c r="P1151">
        <v>0</v>
      </c>
    </row>
    <row r="1152" spans="1:16" x14ac:dyDescent="0.3">
      <c r="A1152" t="s">
        <v>57</v>
      </c>
      <c r="B1152" t="s">
        <v>17</v>
      </c>
      <c r="C1152" t="s">
        <v>17</v>
      </c>
      <c r="D1152" t="s">
        <v>15</v>
      </c>
      <c r="E1152" t="s">
        <v>75</v>
      </c>
      <c r="F1152" t="s">
        <v>9</v>
      </c>
      <c r="G1152" s="15">
        <v>114.13</v>
      </c>
      <c r="H1152" t="s">
        <v>26</v>
      </c>
      <c r="I1152">
        <v>2</v>
      </c>
      <c r="J1152" t="s">
        <v>48</v>
      </c>
      <c r="K1152" t="s">
        <v>45</v>
      </c>
      <c r="L1152" t="s">
        <v>45</v>
      </c>
      <c r="M1152" t="s">
        <v>72</v>
      </c>
      <c r="N1152" s="15">
        <v>120.06</v>
      </c>
      <c r="O1152" s="16">
        <v>-4.9000000000000004</v>
      </c>
      <c r="P1152">
        <v>0</v>
      </c>
    </row>
    <row r="1153" spans="1:16" x14ac:dyDescent="0.3">
      <c r="A1153" t="s">
        <v>57</v>
      </c>
      <c r="B1153" t="s">
        <v>17</v>
      </c>
      <c r="C1153" t="s">
        <v>17</v>
      </c>
      <c r="D1153" t="s">
        <v>15</v>
      </c>
      <c r="E1153" t="s">
        <v>76</v>
      </c>
      <c r="F1153" t="s">
        <v>9</v>
      </c>
      <c r="G1153" s="15">
        <v>120.26</v>
      </c>
      <c r="H1153" t="s">
        <v>26</v>
      </c>
      <c r="I1153">
        <v>2</v>
      </c>
      <c r="J1153" t="s">
        <v>47</v>
      </c>
      <c r="K1153" t="s">
        <v>45</v>
      </c>
      <c r="L1153" t="s">
        <v>45</v>
      </c>
      <c r="M1153" t="s">
        <v>72</v>
      </c>
      <c r="N1153" s="15">
        <v>118.59</v>
      </c>
      <c r="O1153" s="16">
        <v>1.4</v>
      </c>
      <c r="P1153">
        <v>0</v>
      </c>
    </row>
    <row r="1154" spans="1:16" x14ac:dyDescent="0.3">
      <c r="A1154" t="s">
        <v>60</v>
      </c>
      <c r="B1154" t="s">
        <v>18</v>
      </c>
      <c r="C1154" t="s">
        <v>18</v>
      </c>
      <c r="D1154" t="s">
        <v>14</v>
      </c>
      <c r="E1154" t="s">
        <v>71</v>
      </c>
      <c r="F1154" t="s">
        <v>9</v>
      </c>
      <c r="G1154" s="15">
        <v>63.51</v>
      </c>
      <c r="H1154" t="s">
        <v>27</v>
      </c>
      <c r="I1154">
        <v>3</v>
      </c>
      <c r="J1154" t="s">
        <v>48</v>
      </c>
      <c r="K1154" t="s">
        <v>45</v>
      </c>
      <c r="L1154" t="s">
        <v>45</v>
      </c>
      <c r="M1154" t="s">
        <v>68</v>
      </c>
      <c r="N1154" s="15">
        <v>65.239999999999995</v>
      </c>
      <c r="O1154" s="16">
        <v>-2.7</v>
      </c>
      <c r="P1154">
        <v>0</v>
      </c>
    </row>
    <row r="1155" spans="1:16" x14ac:dyDescent="0.3">
      <c r="A1155" t="s">
        <v>65</v>
      </c>
      <c r="B1155" t="s">
        <v>17</v>
      </c>
      <c r="C1155" t="s">
        <v>17</v>
      </c>
      <c r="D1155" t="s">
        <v>11</v>
      </c>
      <c r="E1155" t="s">
        <v>79</v>
      </c>
      <c r="F1155" t="s">
        <v>9</v>
      </c>
      <c r="G1155" s="15">
        <v>27.57</v>
      </c>
      <c r="H1155" t="s">
        <v>27</v>
      </c>
      <c r="I1155">
        <v>3</v>
      </c>
      <c r="J1155" t="s">
        <v>47</v>
      </c>
      <c r="K1155" t="s">
        <v>45</v>
      </c>
      <c r="L1155" t="s">
        <v>45</v>
      </c>
      <c r="M1155" t="s">
        <v>61</v>
      </c>
      <c r="N1155" s="15">
        <v>33.39</v>
      </c>
      <c r="O1155" s="16">
        <v>-17.399999999999999</v>
      </c>
      <c r="P1155">
        <v>0</v>
      </c>
    </row>
    <row r="1156" spans="1:16" x14ac:dyDescent="0.3">
      <c r="A1156" t="s">
        <v>57</v>
      </c>
      <c r="B1156" t="s">
        <v>18</v>
      </c>
      <c r="C1156" t="s">
        <v>18</v>
      </c>
      <c r="D1156" t="s">
        <v>12</v>
      </c>
      <c r="E1156" t="s">
        <v>66</v>
      </c>
      <c r="F1156" t="s">
        <v>13</v>
      </c>
      <c r="G1156" s="15">
        <v>166.94</v>
      </c>
      <c r="H1156" t="s">
        <v>26</v>
      </c>
      <c r="I1156">
        <v>2</v>
      </c>
      <c r="J1156" t="s">
        <v>48</v>
      </c>
      <c r="K1156" t="s">
        <v>45</v>
      </c>
      <c r="L1156" t="s">
        <v>45</v>
      </c>
      <c r="M1156" t="s">
        <v>67</v>
      </c>
      <c r="N1156" s="15">
        <v>170.56</v>
      </c>
      <c r="O1156" s="16">
        <v>-2.1</v>
      </c>
      <c r="P1156">
        <v>0</v>
      </c>
    </row>
    <row r="1157" spans="1:16" x14ac:dyDescent="0.3">
      <c r="A1157" t="s">
        <v>57</v>
      </c>
      <c r="B1157" t="s">
        <v>19</v>
      </c>
      <c r="C1157" t="s">
        <v>19</v>
      </c>
      <c r="D1157" t="s">
        <v>15</v>
      </c>
      <c r="E1157" t="s">
        <v>75</v>
      </c>
      <c r="F1157" t="s">
        <v>9</v>
      </c>
      <c r="G1157" s="15">
        <v>136.80000000000001</v>
      </c>
      <c r="H1157" t="s">
        <v>26</v>
      </c>
      <c r="I1157">
        <v>2</v>
      </c>
      <c r="J1157" t="s">
        <v>48</v>
      </c>
      <c r="K1157" t="s">
        <v>45</v>
      </c>
      <c r="L1157" t="s">
        <v>45</v>
      </c>
      <c r="M1157" t="s">
        <v>61</v>
      </c>
      <c r="N1157" s="15">
        <v>120.06</v>
      </c>
      <c r="O1157" s="16">
        <v>13.9</v>
      </c>
      <c r="P1157">
        <v>0</v>
      </c>
    </row>
    <row r="1158" spans="1:16" x14ac:dyDescent="0.3">
      <c r="A1158" t="s">
        <v>57</v>
      </c>
      <c r="B1158" t="s">
        <v>22</v>
      </c>
      <c r="C1158" t="s">
        <v>22</v>
      </c>
      <c r="D1158" t="s">
        <v>10</v>
      </c>
      <c r="E1158" t="s">
        <v>58</v>
      </c>
      <c r="F1158" t="s">
        <v>9</v>
      </c>
      <c r="G1158" s="15">
        <v>191.02</v>
      </c>
      <c r="H1158" t="s">
        <v>26</v>
      </c>
      <c r="I1158">
        <v>2</v>
      </c>
      <c r="J1158" t="s">
        <v>47</v>
      </c>
      <c r="K1158" t="s">
        <v>45</v>
      </c>
      <c r="L1158" t="s">
        <v>45</v>
      </c>
      <c r="M1158" t="s">
        <v>72</v>
      </c>
      <c r="N1158" s="15">
        <v>151.19</v>
      </c>
      <c r="O1158" s="16">
        <v>26.3</v>
      </c>
      <c r="P1158">
        <v>1</v>
      </c>
    </row>
    <row r="1159" spans="1:16" x14ac:dyDescent="0.3">
      <c r="A1159" t="s">
        <v>60</v>
      </c>
      <c r="B1159" t="s">
        <v>20</v>
      </c>
      <c r="C1159" t="s">
        <v>20</v>
      </c>
      <c r="D1159" t="s">
        <v>11</v>
      </c>
      <c r="E1159" t="s">
        <v>79</v>
      </c>
      <c r="F1159" t="s">
        <v>9</v>
      </c>
      <c r="G1159" s="15">
        <v>20.92</v>
      </c>
      <c r="H1159" t="s">
        <v>26</v>
      </c>
      <c r="I1159">
        <v>2</v>
      </c>
      <c r="J1159" t="s">
        <v>48</v>
      </c>
      <c r="K1159" t="s">
        <v>46</v>
      </c>
      <c r="L1159" t="s">
        <v>45</v>
      </c>
      <c r="M1159" t="s">
        <v>64</v>
      </c>
      <c r="N1159" s="15">
        <v>29.14</v>
      </c>
      <c r="O1159" s="16">
        <v>-28.2</v>
      </c>
      <c r="P1159">
        <v>0</v>
      </c>
    </row>
    <row r="1160" spans="1:16" x14ac:dyDescent="0.3">
      <c r="A1160" t="s">
        <v>65</v>
      </c>
      <c r="B1160" t="s">
        <v>17</v>
      </c>
      <c r="C1160" t="s">
        <v>17</v>
      </c>
      <c r="D1160" t="s">
        <v>15</v>
      </c>
      <c r="E1160" t="s">
        <v>76</v>
      </c>
      <c r="F1160" t="s">
        <v>9</v>
      </c>
      <c r="G1160" s="15">
        <v>128.84</v>
      </c>
      <c r="H1160" t="s">
        <v>26</v>
      </c>
      <c r="I1160">
        <v>2</v>
      </c>
      <c r="J1160" t="s">
        <v>48</v>
      </c>
      <c r="K1160" t="s">
        <v>45</v>
      </c>
      <c r="L1160" t="s">
        <v>45</v>
      </c>
      <c r="M1160" t="s">
        <v>72</v>
      </c>
      <c r="N1160" s="15">
        <v>126.51</v>
      </c>
      <c r="O1160" s="16">
        <v>1.8</v>
      </c>
      <c r="P1160">
        <v>0</v>
      </c>
    </row>
    <row r="1161" spans="1:16" x14ac:dyDescent="0.3">
      <c r="A1161" t="s">
        <v>60</v>
      </c>
      <c r="B1161" t="s">
        <v>18</v>
      </c>
      <c r="C1161" t="s">
        <v>18</v>
      </c>
      <c r="D1161" t="s">
        <v>8</v>
      </c>
      <c r="E1161" t="s">
        <v>73</v>
      </c>
      <c r="F1161" t="s">
        <v>9</v>
      </c>
      <c r="G1161" s="15">
        <v>84.9</v>
      </c>
      <c r="H1161" t="s">
        <v>27</v>
      </c>
      <c r="I1161">
        <v>3</v>
      </c>
      <c r="J1161" t="s">
        <v>47</v>
      </c>
      <c r="K1161" t="s">
        <v>46</v>
      </c>
      <c r="L1161" t="s">
        <v>46</v>
      </c>
      <c r="M1161" t="s">
        <v>68</v>
      </c>
      <c r="N1161" s="15">
        <v>82.04</v>
      </c>
      <c r="O1161" s="16">
        <v>3.5</v>
      </c>
      <c r="P1161">
        <v>0</v>
      </c>
    </row>
    <row r="1162" spans="1:16" x14ac:dyDescent="0.3">
      <c r="A1162" t="s">
        <v>57</v>
      </c>
      <c r="B1162" t="s">
        <v>22</v>
      </c>
      <c r="C1162" t="s">
        <v>22</v>
      </c>
      <c r="D1162" t="s">
        <v>10</v>
      </c>
      <c r="E1162" t="s">
        <v>69</v>
      </c>
      <c r="F1162" t="s">
        <v>9</v>
      </c>
      <c r="G1162" s="15">
        <v>154.16</v>
      </c>
      <c r="H1162" t="s">
        <v>27</v>
      </c>
      <c r="I1162">
        <v>3</v>
      </c>
      <c r="J1162" t="s">
        <v>47</v>
      </c>
      <c r="K1162" t="s">
        <v>45</v>
      </c>
      <c r="L1162" t="s">
        <v>45</v>
      </c>
      <c r="M1162" t="s">
        <v>72</v>
      </c>
      <c r="N1162" s="15">
        <v>150.38999999999999</v>
      </c>
      <c r="O1162" s="16">
        <v>2.5</v>
      </c>
      <c r="P1162">
        <v>0</v>
      </c>
    </row>
    <row r="1163" spans="1:16" x14ac:dyDescent="0.3">
      <c r="A1163" t="s">
        <v>65</v>
      </c>
      <c r="B1163" t="s">
        <v>22</v>
      </c>
      <c r="C1163" t="s">
        <v>22</v>
      </c>
      <c r="D1163" t="s">
        <v>14</v>
      </c>
      <c r="E1163" t="s">
        <v>71</v>
      </c>
      <c r="F1163" t="s">
        <v>9</v>
      </c>
      <c r="G1163" s="15">
        <v>68.180000000000007</v>
      </c>
      <c r="H1163" t="s">
        <v>26</v>
      </c>
      <c r="I1163">
        <v>2</v>
      </c>
      <c r="J1163" t="s">
        <v>47</v>
      </c>
      <c r="K1163" t="s">
        <v>46</v>
      </c>
      <c r="L1163" t="s">
        <v>45</v>
      </c>
      <c r="M1163" t="s">
        <v>72</v>
      </c>
      <c r="N1163" s="15">
        <v>71.77</v>
      </c>
      <c r="O1163" s="16">
        <v>-5</v>
      </c>
      <c r="P1163">
        <v>0</v>
      </c>
    </row>
    <row r="1164" spans="1:16" x14ac:dyDescent="0.3">
      <c r="A1164" t="s">
        <v>60</v>
      </c>
      <c r="B1164" t="s">
        <v>22</v>
      </c>
      <c r="C1164" t="s">
        <v>22</v>
      </c>
      <c r="D1164" t="s">
        <v>14</v>
      </c>
      <c r="E1164" t="s">
        <v>71</v>
      </c>
      <c r="F1164" t="s">
        <v>9</v>
      </c>
      <c r="G1164" s="15">
        <v>66.83</v>
      </c>
      <c r="H1164" t="s">
        <v>25</v>
      </c>
      <c r="I1164">
        <v>1</v>
      </c>
      <c r="J1164" t="s">
        <v>48</v>
      </c>
      <c r="K1164" t="s">
        <v>46</v>
      </c>
      <c r="L1164" t="s">
        <v>45</v>
      </c>
      <c r="M1164" t="s">
        <v>64</v>
      </c>
      <c r="N1164" s="15">
        <v>65.239999999999995</v>
      </c>
      <c r="O1164" s="16">
        <v>2.4</v>
      </c>
      <c r="P1164">
        <v>0</v>
      </c>
    </row>
    <row r="1165" spans="1:16" x14ac:dyDescent="0.3">
      <c r="A1165" t="s">
        <v>57</v>
      </c>
      <c r="B1165" t="s">
        <v>18</v>
      </c>
      <c r="C1165" t="s">
        <v>18</v>
      </c>
      <c r="D1165" t="s">
        <v>11</v>
      </c>
      <c r="E1165" t="s">
        <v>70</v>
      </c>
      <c r="F1165" t="s">
        <v>9</v>
      </c>
      <c r="G1165" s="15">
        <v>30.28</v>
      </c>
      <c r="H1165" t="s">
        <v>26</v>
      </c>
      <c r="I1165">
        <v>2</v>
      </c>
      <c r="J1165" t="s">
        <v>47</v>
      </c>
      <c r="K1165" t="s">
        <v>46</v>
      </c>
      <c r="L1165" t="s">
        <v>46</v>
      </c>
      <c r="M1165" t="s">
        <v>72</v>
      </c>
      <c r="N1165" s="15">
        <v>30.5</v>
      </c>
      <c r="O1165" s="16">
        <v>-0.7</v>
      </c>
      <c r="P1165">
        <v>0</v>
      </c>
    </row>
    <row r="1166" spans="1:16" x14ac:dyDescent="0.3">
      <c r="A1166" t="s">
        <v>57</v>
      </c>
      <c r="B1166" t="s">
        <v>21</v>
      </c>
      <c r="C1166" t="s">
        <v>62</v>
      </c>
      <c r="D1166" t="s">
        <v>8</v>
      </c>
      <c r="E1166" t="s">
        <v>73</v>
      </c>
      <c r="F1166" t="s">
        <v>9</v>
      </c>
      <c r="G1166" s="15">
        <v>92.93</v>
      </c>
      <c r="H1166" t="s">
        <v>27</v>
      </c>
      <c r="I1166">
        <v>3</v>
      </c>
      <c r="J1166" t="s">
        <v>48</v>
      </c>
      <c r="K1166" t="s">
        <v>46</v>
      </c>
      <c r="L1166" t="s">
        <v>45</v>
      </c>
      <c r="M1166" t="s">
        <v>59</v>
      </c>
      <c r="N1166" s="15">
        <v>86.06</v>
      </c>
      <c r="O1166" s="16">
        <v>8</v>
      </c>
      <c r="P1166">
        <v>0</v>
      </c>
    </row>
    <row r="1167" spans="1:16" x14ac:dyDescent="0.3">
      <c r="A1167" t="s">
        <v>57</v>
      </c>
      <c r="B1167" t="s">
        <v>17</v>
      </c>
      <c r="C1167" t="s">
        <v>17</v>
      </c>
      <c r="D1167" t="s">
        <v>15</v>
      </c>
      <c r="E1167" t="s">
        <v>75</v>
      </c>
      <c r="F1167" t="s">
        <v>9</v>
      </c>
      <c r="G1167" s="15">
        <v>103.85</v>
      </c>
      <c r="H1167" t="s">
        <v>27</v>
      </c>
      <c r="I1167">
        <v>3</v>
      </c>
      <c r="J1167" t="s">
        <v>48</v>
      </c>
      <c r="K1167" t="s">
        <v>46</v>
      </c>
      <c r="L1167" t="s">
        <v>45</v>
      </c>
      <c r="M1167" t="s">
        <v>61</v>
      </c>
      <c r="N1167" s="15">
        <v>120.06</v>
      </c>
      <c r="O1167" s="16">
        <v>-13.5</v>
      </c>
      <c r="P1167">
        <v>0</v>
      </c>
    </row>
    <row r="1168" spans="1:16" x14ac:dyDescent="0.3">
      <c r="A1168" t="s">
        <v>57</v>
      </c>
      <c r="B1168" t="s">
        <v>21</v>
      </c>
      <c r="C1168" t="s">
        <v>62</v>
      </c>
      <c r="D1168" t="s">
        <v>14</v>
      </c>
      <c r="E1168" t="s">
        <v>63</v>
      </c>
      <c r="F1168" t="s">
        <v>9</v>
      </c>
      <c r="G1168" s="15">
        <v>60.76</v>
      </c>
      <c r="H1168" t="s">
        <v>27</v>
      </c>
      <c r="I1168">
        <v>3</v>
      </c>
      <c r="J1168" t="s">
        <v>48</v>
      </c>
      <c r="K1168" t="s">
        <v>46</v>
      </c>
      <c r="L1168" t="s">
        <v>45</v>
      </c>
      <c r="M1168" t="s">
        <v>59</v>
      </c>
      <c r="N1168" s="15">
        <v>65.16</v>
      </c>
      <c r="O1168" s="16">
        <v>-6.8</v>
      </c>
      <c r="P1168">
        <v>0</v>
      </c>
    </row>
    <row r="1169" spans="1:16" x14ac:dyDescent="0.3">
      <c r="A1169" t="s">
        <v>60</v>
      </c>
      <c r="B1169" t="s">
        <v>21</v>
      </c>
      <c r="C1169" t="s">
        <v>62</v>
      </c>
      <c r="D1169" t="s">
        <v>15</v>
      </c>
      <c r="E1169" t="s">
        <v>75</v>
      </c>
      <c r="F1169" t="s">
        <v>9</v>
      </c>
      <c r="G1169" s="15">
        <v>113.77</v>
      </c>
      <c r="H1169" t="s">
        <v>26</v>
      </c>
      <c r="I1169">
        <v>2</v>
      </c>
      <c r="J1169" t="s">
        <v>48</v>
      </c>
      <c r="K1169" t="s">
        <v>46</v>
      </c>
      <c r="L1169" t="s">
        <v>45</v>
      </c>
      <c r="M1169" t="s">
        <v>59</v>
      </c>
      <c r="N1169" s="15">
        <v>119</v>
      </c>
      <c r="O1169" s="16">
        <v>-4.4000000000000004</v>
      </c>
      <c r="P1169">
        <v>0</v>
      </c>
    </row>
    <row r="1170" spans="1:16" x14ac:dyDescent="0.3">
      <c r="A1170" t="s">
        <v>60</v>
      </c>
      <c r="B1170" t="s">
        <v>17</v>
      </c>
      <c r="C1170" t="s">
        <v>17</v>
      </c>
      <c r="D1170" t="s">
        <v>12</v>
      </c>
      <c r="E1170" t="s">
        <v>80</v>
      </c>
      <c r="F1170" t="s">
        <v>13</v>
      </c>
      <c r="G1170" s="15">
        <v>175.93</v>
      </c>
      <c r="H1170" t="s">
        <v>26</v>
      </c>
      <c r="I1170">
        <v>2</v>
      </c>
      <c r="J1170" t="s">
        <v>48</v>
      </c>
      <c r="K1170" t="s">
        <v>45</v>
      </c>
      <c r="L1170" t="s">
        <v>45</v>
      </c>
      <c r="M1170" t="s">
        <v>64</v>
      </c>
      <c r="N1170" s="15">
        <v>167.63</v>
      </c>
      <c r="O1170" s="16">
        <v>5</v>
      </c>
      <c r="P1170">
        <v>0</v>
      </c>
    </row>
    <row r="1171" spans="1:16" x14ac:dyDescent="0.3">
      <c r="A1171" t="s">
        <v>60</v>
      </c>
      <c r="B1171" t="s">
        <v>21</v>
      </c>
      <c r="C1171" t="s">
        <v>62</v>
      </c>
      <c r="D1171" t="s">
        <v>8</v>
      </c>
      <c r="E1171" t="s">
        <v>74</v>
      </c>
      <c r="F1171" t="s">
        <v>9</v>
      </c>
      <c r="G1171" s="15">
        <v>54.7</v>
      </c>
      <c r="H1171" t="s">
        <v>26</v>
      </c>
      <c r="I1171">
        <v>2</v>
      </c>
      <c r="J1171" t="s">
        <v>48</v>
      </c>
      <c r="K1171" t="s">
        <v>46</v>
      </c>
      <c r="L1171" t="s">
        <v>45</v>
      </c>
      <c r="M1171" t="s">
        <v>64</v>
      </c>
      <c r="N1171" s="15">
        <v>78.260000000000005</v>
      </c>
      <c r="O1171" s="16">
        <v>-30.1</v>
      </c>
      <c r="P1171">
        <v>0</v>
      </c>
    </row>
    <row r="1172" spans="1:16" x14ac:dyDescent="0.3">
      <c r="A1172" t="s">
        <v>60</v>
      </c>
      <c r="B1172" t="s">
        <v>19</v>
      </c>
      <c r="C1172" t="s">
        <v>19</v>
      </c>
      <c r="D1172" t="s">
        <v>10</v>
      </c>
      <c r="E1172" t="s">
        <v>69</v>
      </c>
      <c r="F1172" t="s">
        <v>9</v>
      </c>
      <c r="G1172" s="15">
        <v>155</v>
      </c>
      <c r="H1172" t="s">
        <v>27</v>
      </c>
      <c r="I1172">
        <v>3</v>
      </c>
      <c r="J1172" t="s">
        <v>48</v>
      </c>
      <c r="K1172" t="s">
        <v>46</v>
      </c>
      <c r="L1172" t="s">
        <v>46</v>
      </c>
      <c r="M1172" t="s">
        <v>61</v>
      </c>
      <c r="N1172" s="15">
        <v>158.6</v>
      </c>
      <c r="O1172" s="16">
        <v>-2.2999999999999998</v>
      </c>
      <c r="P1172">
        <v>0</v>
      </c>
    </row>
    <row r="1173" spans="1:16" x14ac:dyDescent="0.3">
      <c r="A1173" t="s">
        <v>60</v>
      </c>
      <c r="B1173" t="s">
        <v>19</v>
      </c>
      <c r="C1173" t="s">
        <v>19</v>
      </c>
      <c r="D1173" t="s">
        <v>8</v>
      </c>
      <c r="E1173" t="s">
        <v>74</v>
      </c>
      <c r="F1173" t="s">
        <v>9</v>
      </c>
      <c r="G1173" s="15">
        <v>85.92</v>
      </c>
      <c r="H1173" t="s">
        <v>27</v>
      </c>
      <c r="I1173">
        <v>3</v>
      </c>
      <c r="J1173" t="s">
        <v>48</v>
      </c>
      <c r="K1173" t="s">
        <v>46</v>
      </c>
      <c r="L1173" t="s">
        <v>46</v>
      </c>
      <c r="M1173" t="s">
        <v>68</v>
      </c>
      <c r="N1173" s="15">
        <v>78.260000000000005</v>
      </c>
      <c r="O1173" s="16">
        <v>9.8000000000000007</v>
      </c>
      <c r="P1173">
        <v>0</v>
      </c>
    </row>
    <row r="1174" spans="1:16" x14ac:dyDescent="0.3">
      <c r="A1174" t="s">
        <v>60</v>
      </c>
      <c r="B1174" t="s">
        <v>21</v>
      </c>
      <c r="C1174" t="s">
        <v>62</v>
      </c>
      <c r="D1174" t="s">
        <v>12</v>
      </c>
      <c r="E1174" t="s">
        <v>66</v>
      </c>
      <c r="F1174" t="s">
        <v>13</v>
      </c>
      <c r="G1174" s="15">
        <v>123.95</v>
      </c>
      <c r="H1174" t="s">
        <v>27</v>
      </c>
      <c r="I1174">
        <v>3</v>
      </c>
      <c r="J1174" t="s">
        <v>48</v>
      </c>
      <c r="K1174" t="s">
        <v>46</v>
      </c>
      <c r="L1174" t="s">
        <v>45</v>
      </c>
      <c r="M1174" t="s">
        <v>61</v>
      </c>
      <c r="N1174" s="15">
        <v>168.34</v>
      </c>
      <c r="O1174" s="16">
        <v>-26.4</v>
      </c>
      <c r="P1174">
        <v>0</v>
      </c>
    </row>
    <row r="1175" spans="1:16" x14ac:dyDescent="0.3">
      <c r="A1175" t="s">
        <v>65</v>
      </c>
      <c r="B1175" t="s">
        <v>18</v>
      </c>
      <c r="C1175" t="s">
        <v>18</v>
      </c>
      <c r="D1175" t="s">
        <v>10</v>
      </c>
      <c r="E1175" t="s">
        <v>69</v>
      </c>
      <c r="F1175" t="s">
        <v>9</v>
      </c>
      <c r="G1175" s="15">
        <v>165.77</v>
      </c>
      <c r="H1175" t="s">
        <v>27</v>
      </c>
      <c r="I1175">
        <v>3</v>
      </c>
      <c r="J1175" t="s">
        <v>44</v>
      </c>
      <c r="K1175" t="s">
        <v>45</v>
      </c>
      <c r="L1175" t="s">
        <v>45</v>
      </c>
      <c r="M1175" t="s">
        <v>72</v>
      </c>
      <c r="N1175" s="15">
        <v>158.91999999999999</v>
      </c>
      <c r="O1175" s="16">
        <v>4.3</v>
      </c>
      <c r="P1175">
        <v>0</v>
      </c>
    </row>
    <row r="1176" spans="1:16" x14ac:dyDescent="0.3">
      <c r="A1176" t="s">
        <v>65</v>
      </c>
      <c r="B1176" t="s">
        <v>22</v>
      </c>
      <c r="C1176" t="s">
        <v>22</v>
      </c>
      <c r="D1176" t="s">
        <v>14</v>
      </c>
      <c r="E1176" t="s">
        <v>77</v>
      </c>
      <c r="F1176" t="s">
        <v>9</v>
      </c>
      <c r="G1176" s="15">
        <v>70.39</v>
      </c>
      <c r="H1176" t="s">
        <v>26</v>
      </c>
      <c r="I1176">
        <v>2</v>
      </c>
      <c r="J1176" t="s">
        <v>47</v>
      </c>
      <c r="K1176" t="s">
        <v>45</v>
      </c>
      <c r="L1176" t="s">
        <v>45</v>
      </c>
      <c r="M1176" t="s">
        <v>72</v>
      </c>
      <c r="N1176" s="15">
        <v>70.66</v>
      </c>
      <c r="O1176" s="16">
        <v>-0.4</v>
      </c>
      <c r="P1176">
        <v>0</v>
      </c>
    </row>
    <row r="1177" spans="1:16" x14ac:dyDescent="0.3">
      <c r="A1177" t="s">
        <v>65</v>
      </c>
      <c r="B1177" t="s">
        <v>21</v>
      </c>
      <c r="C1177" t="s">
        <v>62</v>
      </c>
      <c r="D1177" t="s">
        <v>14</v>
      </c>
      <c r="E1177" t="s">
        <v>63</v>
      </c>
      <c r="F1177" t="s">
        <v>9</v>
      </c>
      <c r="G1177" s="15">
        <v>57.63</v>
      </c>
      <c r="H1177" t="s">
        <v>27</v>
      </c>
      <c r="I1177">
        <v>3</v>
      </c>
      <c r="J1177" t="s">
        <v>48</v>
      </c>
      <c r="K1177" t="s">
        <v>45</v>
      </c>
      <c r="L1177" t="s">
        <v>45</v>
      </c>
      <c r="M1177" t="s">
        <v>68</v>
      </c>
      <c r="N1177" s="15">
        <v>68.150000000000006</v>
      </c>
      <c r="O1177" s="16">
        <v>-15.4</v>
      </c>
      <c r="P1177">
        <v>0</v>
      </c>
    </row>
    <row r="1178" spans="1:16" x14ac:dyDescent="0.3">
      <c r="A1178" t="s">
        <v>60</v>
      </c>
      <c r="B1178" t="s">
        <v>21</v>
      </c>
      <c r="C1178" t="s">
        <v>62</v>
      </c>
      <c r="D1178" t="s">
        <v>10</v>
      </c>
      <c r="E1178" t="s">
        <v>69</v>
      </c>
      <c r="F1178" t="s">
        <v>9</v>
      </c>
      <c r="G1178" s="15">
        <v>149.96</v>
      </c>
      <c r="H1178" t="s">
        <v>27</v>
      </c>
      <c r="I1178">
        <v>3</v>
      </c>
      <c r="J1178" t="s">
        <v>48</v>
      </c>
      <c r="K1178" t="s">
        <v>45</v>
      </c>
      <c r="L1178" t="s">
        <v>45</v>
      </c>
      <c r="M1178" t="s">
        <v>78</v>
      </c>
      <c r="N1178" s="15">
        <v>158.6</v>
      </c>
      <c r="O1178" s="16">
        <v>-5.4</v>
      </c>
      <c r="P1178">
        <v>0</v>
      </c>
    </row>
    <row r="1179" spans="1:16" x14ac:dyDescent="0.3">
      <c r="A1179" t="s">
        <v>57</v>
      </c>
      <c r="B1179" t="s">
        <v>22</v>
      </c>
      <c r="C1179" t="s">
        <v>22</v>
      </c>
      <c r="D1179" t="s">
        <v>12</v>
      </c>
      <c r="E1179" t="s">
        <v>66</v>
      </c>
      <c r="F1179" t="s">
        <v>13</v>
      </c>
      <c r="G1179" s="15">
        <v>159.82</v>
      </c>
      <c r="H1179" t="s">
        <v>27</v>
      </c>
      <c r="I1179">
        <v>3</v>
      </c>
      <c r="J1179" t="s">
        <v>48</v>
      </c>
      <c r="K1179" t="s">
        <v>45</v>
      </c>
      <c r="L1179" t="s">
        <v>45</v>
      </c>
      <c r="M1179" t="s">
        <v>78</v>
      </c>
      <c r="N1179" s="15">
        <v>170.56</v>
      </c>
      <c r="O1179" s="16">
        <v>-6.3</v>
      </c>
      <c r="P1179">
        <v>0</v>
      </c>
    </row>
    <row r="1180" spans="1:16" x14ac:dyDescent="0.3">
      <c r="A1180" t="s">
        <v>60</v>
      </c>
      <c r="B1180" t="s">
        <v>19</v>
      </c>
      <c r="C1180" t="s">
        <v>19</v>
      </c>
      <c r="D1180" t="s">
        <v>8</v>
      </c>
      <c r="E1180" t="s">
        <v>74</v>
      </c>
      <c r="F1180" t="s">
        <v>9</v>
      </c>
      <c r="G1180" s="15">
        <v>80.37</v>
      </c>
      <c r="H1180" t="s">
        <v>27</v>
      </c>
      <c r="I1180">
        <v>3</v>
      </c>
      <c r="J1180" t="s">
        <v>48</v>
      </c>
      <c r="K1180" t="s">
        <v>46</v>
      </c>
      <c r="L1180" t="s">
        <v>45</v>
      </c>
      <c r="M1180" t="s">
        <v>67</v>
      </c>
      <c r="N1180" s="15">
        <v>78.260000000000005</v>
      </c>
      <c r="O1180" s="16">
        <v>2.7</v>
      </c>
      <c r="P1180">
        <v>0</v>
      </c>
    </row>
    <row r="1181" spans="1:16" x14ac:dyDescent="0.3">
      <c r="A1181" t="s">
        <v>60</v>
      </c>
      <c r="B1181" t="s">
        <v>17</v>
      </c>
      <c r="C1181" t="s">
        <v>17</v>
      </c>
      <c r="D1181" t="s">
        <v>14</v>
      </c>
      <c r="E1181" t="s">
        <v>71</v>
      </c>
      <c r="F1181" t="s">
        <v>9</v>
      </c>
      <c r="G1181" s="15">
        <v>64.67</v>
      </c>
      <c r="H1181" t="s">
        <v>26</v>
      </c>
      <c r="I1181">
        <v>2</v>
      </c>
      <c r="J1181" t="s">
        <v>48</v>
      </c>
      <c r="K1181" t="s">
        <v>46</v>
      </c>
      <c r="L1181" t="s">
        <v>45</v>
      </c>
      <c r="M1181" t="s">
        <v>59</v>
      </c>
      <c r="N1181" s="15">
        <v>65.239999999999995</v>
      </c>
      <c r="O1181" s="16">
        <v>-0.9</v>
      </c>
      <c r="P1181">
        <v>0</v>
      </c>
    </row>
    <row r="1182" spans="1:16" x14ac:dyDescent="0.3">
      <c r="A1182" t="s">
        <v>57</v>
      </c>
      <c r="B1182" t="s">
        <v>19</v>
      </c>
      <c r="C1182" t="s">
        <v>19</v>
      </c>
      <c r="D1182" t="s">
        <v>14</v>
      </c>
      <c r="E1182" t="s">
        <v>77</v>
      </c>
      <c r="F1182" t="s">
        <v>9</v>
      </c>
      <c r="G1182" s="15">
        <v>74.819999999999993</v>
      </c>
      <c r="H1182" t="s">
        <v>25</v>
      </c>
      <c r="I1182">
        <v>1</v>
      </c>
      <c r="J1182" t="s">
        <v>47</v>
      </c>
      <c r="K1182" t="s">
        <v>46</v>
      </c>
      <c r="L1182" t="s">
        <v>46</v>
      </c>
      <c r="M1182" t="s">
        <v>59</v>
      </c>
      <c r="N1182" s="15">
        <v>65.97</v>
      </c>
      <c r="O1182" s="16">
        <v>13.4</v>
      </c>
      <c r="P1182">
        <v>0</v>
      </c>
    </row>
    <row r="1183" spans="1:16" x14ac:dyDescent="0.3">
      <c r="A1183" t="s">
        <v>60</v>
      </c>
      <c r="B1183" t="s">
        <v>21</v>
      </c>
      <c r="C1183" t="s">
        <v>62</v>
      </c>
      <c r="D1183" t="s">
        <v>15</v>
      </c>
      <c r="E1183" t="s">
        <v>75</v>
      </c>
      <c r="F1183" t="s">
        <v>9</v>
      </c>
      <c r="G1183" s="15">
        <v>136.26</v>
      </c>
      <c r="H1183" t="s">
        <v>25</v>
      </c>
      <c r="I1183">
        <v>1</v>
      </c>
      <c r="J1183" t="s">
        <v>48</v>
      </c>
      <c r="K1183" t="s">
        <v>45</v>
      </c>
      <c r="L1183" t="s">
        <v>45</v>
      </c>
      <c r="M1183" t="s">
        <v>59</v>
      </c>
      <c r="N1183" s="15">
        <v>119</v>
      </c>
      <c r="O1183" s="16">
        <v>14.5</v>
      </c>
      <c r="P1183">
        <v>0</v>
      </c>
    </row>
    <row r="1184" spans="1:16" x14ac:dyDescent="0.3">
      <c r="A1184" t="s">
        <v>65</v>
      </c>
      <c r="B1184" t="s">
        <v>17</v>
      </c>
      <c r="C1184" t="s">
        <v>17</v>
      </c>
      <c r="D1184" t="s">
        <v>14</v>
      </c>
      <c r="E1184" t="s">
        <v>63</v>
      </c>
      <c r="F1184" t="s">
        <v>9</v>
      </c>
      <c r="G1184" s="15">
        <v>61.42</v>
      </c>
      <c r="H1184" t="s">
        <v>27</v>
      </c>
      <c r="I1184">
        <v>3</v>
      </c>
      <c r="J1184" t="s">
        <v>47</v>
      </c>
      <c r="K1184" t="s">
        <v>46</v>
      </c>
      <c r="L1184" t="s">
        <v>45</v>
      </c>
      <c r="M1184" t="s">
        <v>61</v>
      </c>
      <c r="N1184" s="15">
        <v>68.150000000000006</v>
      </c>
      <c r="O1184" s="16">
        <v>-9.9</v>
      </c>
      <c r="P1184">
        <v>0</v>
      </c>
    </row>
    <row r="1185" spans="1:16" x14ac:dyDescent="0.3">
      <c r="A1185" t="s">
        <v>65</v>
      </c>
      <c r="B1185" t="s">
        <v>22</v>
      </c>
      <c r="C1185" t="s">
        <v>22</v>
      </c>
      <c r="D1185" t="s">
        <v>10</v>
      </c>
      <c r="E1185" t="s">
        <v>69</v>
      </c>
      <c r="F1185" t="s">
        <v>9</v>
      </c>
      <c r="G1185" s="15">
        <v>148.57</v>
      </c>
      <c r="H1185" t="s">
        <v>27</v>
      </c>
      <c r="I1185">
        <v>3</v>
      </c>
      <c r="J1185" t="s">
        <v>47</v>
      </c>
      <c r="K1185" t="s">
        <v>45</v>
      </c>
      <c r="L1185" t="s">
        <v>45</v>
      </c>
      <c r="M1185" t="s">
        <v>61</v>
      </c>
      <c r="N1185" s="15">
        <v>158.91999999999999</v>
      </c>
      <c r="O1185" s="16">
        <v>-6.5</v>
      </c>
      <c r="P1185">
        <v>0</v>
      </c>
    </row>
    <row r="1186" spans="1:16" x14ac:dyDescent="0.3">
      <c r="A1186" t="s">
        <v>60</v>
      </c>
      <c r="B1186" t="s">
        <v>21</v>
      </c>
      <c r="C1186" t="s">
        <v>62</v>
      </c>
      <c r="D1186" t="s">
        <v>11</v>
      </c>
      <c r="E1186" t="s">
        <v>79</v>
      </c>
      <c r="F1186" t="s">
        <v>9</v>
      </c>
      <c r="G1186" s="15">
        <v>25.57</v>
      </c>
      <c r="H1186" t="s">
        <v>25</v>
      </c>
      <c r="I1186">
        <v>1</v>
      </c>
      <c r="J1186" t="s">
        <v>48</v>
      </c>
      <c r="K1186" t="s">
        <v>45</v>
      </c>
      <c r="L1186" t="s">
        <v>45</v>
      </c>
      <c r="M1186" t="s">
        <v>67</v>
      </c>
      <c r="N1186" s="15">
        <v>29.14</v>
      </c>
      <c r="O1186" s="16">
        <v>-12.3</v>
      </c>
      <c r="P1186">
        <v>0</v>
      </c>
    </row>
    <row r="1187" spans="1:16" x14ac:dyDescent="0.3">
      <c r="A1187" t="s">
        <v>65</v>
      </c>
      <c r="B1187" t="s">
        <v>17</v>
      </c>
      <c r="C1187" t="s">
        <v>17</v>
      </c>
      <c r="D1187" t="s">
        <v>11</v>
      </c>
      <c r="E1187" t="s">
        <v>70</v>
      </c>
      <c r="F1187" t="s">
        <v>9</v>
      </c>
      <c r="G1187" s="15">
        <v>27.19</v>
      </c>
      <c r="H1187" t="s">
        <v>25</v>
      </c>
      <c r="I1187">
        <v>1</v>
      </c>
      <c r="J1187" t="s">
        <v>47</v>
      </c>
      <c r="K1187" t="s">
        <v>46</v>
      </c>
      <c r="L1187" t="s">
        <v>46</v>
      </c>
      <c r="M1187" t="s">
        <v>72</v>
      </c>
      <c r="N1187" s="15">
        <v>32.630000000000003</v>
      </c>
      <c r="O1187" s="16">
        <v>-16.7</v>
      </c>
      <c r="P1187">
        <v>0</v>
      </c>
    </row>
    <row r="1188" spans="1:16" x14ac:dyDescent="0.3">
      <c r="A1188" t="s">
        <v>60</v>
      </c>
      <c r="B1188" t="s">
        <v>21</v>
      </c>
      <c r="C1188" t="s">
        <v>62</v>
      </c>
      <c r="D1188" t="s">
        <v>10</v>
      </c>
      <c r="E1188" t="s">
        <v>69</v>
      </c>
      <c r="F1188" t="s">
        <v>9</v>
      </c>
      <c r="G1188" s="15">
        <v>119.93</v>
      </c>
      <c r="H1188" t="s">
        <v>26</v>
      </c>
      <c r="I1188">
        <v>2</v>
      </c>
      <c r="J1188" t="s">
        <v>48</v>
      </c>
      <c r="K1188" t="s">
        <v>46</v>
      </c>
      <c r="L1188" t="s">
        <v>45</v>
      </c>
      <c r="M1188" t="s">
        <v>59</v>
      </c>
      <c r="N1188" s="15">
        <v>158.6</v>
      </c>
      <c r="O1188" s="16">
        <v>-24.4</v>
      </c>
      <c r="P1188">
        <v>0</v>
      </c>
    </row>
    <row r="1189" spans="1:16" x14ac:dyDescent="0.3">
      <c r="A1189" t="s">
        <v>65</v>
      </c>
      <c r="B1189" t="s">
        <v>19</v>
      </c>
      <c r="C1189" t="s">
        <v>19</v>
      </c>
      <c r="D1189" t="s">
        <v>8</v>
      </c>
      <c r="E1189" t="s">
        <v>73</v>
      </c>
      <c r="F1189" t="s">
        <v>9</v>
      </c>
      <c r="G1189" s="15">
        <v>107.22</v>
      </c>
      <c r="H1189" t="s">
        <v>26</v>
      </c>
      <c r="I1189">
        <v>2</v>
      </c>
      <c r="J1189" t="s">
        <v>44</v>
      </c>
      <c r="K1189" t="s">
        <v>45</v>
      </c>
      <c r="L1189" t="s">
        <v>45</v>
      </c>
      <c r="M1189" t="s">
        <v>68</v>
      </c>
      <c r="N1189" s="15">
        <v>88.05</v>
      </c>
      <c r="O1189" s="16">
        <v>21.8</v>
      </c>
      <c r="P1189">
        <v>1</v>
      </c>
    </row>
    <row r="1190" spans="1:16" x14ac:dyDescent="0.3">
      <c r="A1190" t="s">
        <v>65</v>
      </c>
      <c r="B1190" t="s">
        <v>21</v>
      </c>
      <c r="C1190" t="s">
        <v>62</v>
      </c>
      <c r="D1190" t="s">
        <v>15</v>
      </c>
      <c r="E1190" t="s">
        <v>76</v>
      </c>
      <c r="F1190" t="s">
        <v>9</v>
      </c>
      <c r="G1190" s="15">
        <v>140</v>
      </c>
      <c r="H1190" t="s">
        <v>26</v>
      </c>
      <c r="I1190">
        <v>2</v>
      </c>
      <c r="J1190" t="s">
        <v>47</v>
      </c>
      <c r="K1190" t="s">
        <v>45</v>
      </c>
      <c r="L1190" t="s">
        <v>45</v>
      </c>
      <c r="M1190" t="s">
        <v>67</v>
      </c>
      <c r="N1190" s="15">
        <v>126.51</v>
      </c>
      <c r="O1190" s="16">
        <v>10.7</v>
      </c>
      <c r="P1190">
        <v>0</v>
      </c>
    </row>
    <row r="1191" spans="1:16" x14ac:dyDescent="0.3">
      <c r="A1191" t="s">
        <v>65</v>
      </c>
      <c r="B1191" t="s">
        <v>17</v>
      </c>
      <c r="C1191" t="s">
        <v>17</v>
      </c>
      <c r="D1191" t="s">
        <v>15</v>
      </c>
      <c r="E1191" t="s">
        <v>75</v>
      </c>
      <c r="F1191" t="s">
        <v>9</v>
      </c>
      <c r="G1191" s="15">
        <v>139.75</v>
      </c>
      <c r="H1191" t="s">
        <v>25</v>
      </c>
      <c r="I1191">
        <v>1</v>
      </c>
      <c r="J1191" t="s">
        <v>48</v>
      </c>
      <c r="K1191" t="s">
        <v>45</v>
      </c>
      <c r="L1191" t="s">
        <v>45</v>
      </c>
      <c r="M1191" t="s">
        <v>68</v>
      </c>
      <c r="N1191" s="15">
        <v>126.9</v>
      </c>
      <c r="O1191" s="16">
        <v>10.1</v>
      </c>
      <c r="P1191">
        <v>0</v>
      </c>
    </row>
    <row r="1192" spans="1:16" x14ac:dyDescent="0.3">
      <c r="A1192" t="s">
        <v>60</v>
      </c>
      <c r="B1192" t="s">
        <v>17</v>
      </c>
      <c r="C1192" t="s">
        <v>17</v>
      </c>
      <c r="D1192" t="s">
        <v>15</v>
      </c>
      <c r="E1192" t="s">
        <v>75</v>
      </c>
      <c r="F1192" t="s">
        <v>9</v>
      </c>
      <c r="G1192" s="15">
        <v>92.84</v>
      </c>
      <c r="H1192" t="s">
        <v>27</v>
      </c>
      <c r="I1192">
        <v>3</v>
      </c>
      <c r="J1192" t="s">
        <v>48</v>
      </c>
      <c r="K1192" t="s">
        <v>46</v>
      </c>
      <c r="L1192" t="s">
        <v>45</v>
      </c>
      <c r="M1192" t="s">
        <v>67</v>
      </c>
      <c r="N1192" s="15">
        <v>119</v>
      </c>
      <c r="O1192" s="16">
        <v>-22</v>
      </c>
      <c r="P1192">
        <v>0</v>
      </c>
    </row>
    <row r="1193" spans="1:16" x14ac:dyDescent="0.3">
      <c r="A1193" t="s">
        <v>60</v>
      </c>
      <c r="B1193" t="s">
        <v>20</v>
      </c>
      <c r="C1193" t="s">
        <v>20</v>
      </c>
      <c r="D1193" t="s">
        <v>11</v>
      </c>
      <c r="E1193" t="s">
        <v>79</v>
      </c>
      <c r="F1193" t="s">
        <v>9</v>
      </c>
      <c r="G1193" s="15">
        <v>33.799999999999997</v>
      </c>
      <c r="H1193" t="s">
        <v>26</v>
      </c>
      <c r="I1193">
        <v>2</v>
      </c>
      <c r="J1193" t="s">
        <v>48</v>
      </c>
      <c r="K1193" t="s">
        <v>45</v>
      </c>
      <c r="L1193" t="s">
        <v>45</v>
      </c>
      <c r="M1193" t="s">
        <v>59</v>
      </c>
      <c r="N1193" s="15">
        <v>29.14</v>
      </c>
      <c r="O1193" s="16">
        <v>16</v>
      </c>
      <c r="P1193">
        <v>1</v>
      </c>
    </row>
    <row r="1194" spans="1:16" x14ac:dyDescent="0.3">
      <c r="A1194" t="s">
        <v>57</v>
      </c>
      <c r="B1194" t="s">
        <v>17</v>
      </c>
      <c r="C1194" t="s">
        <v>17</v>
      </c>
      <c r="D1194" t="s">
        <v>11</v>
      </c>
      <c r="E1194" t="s">
        <v>70</v>
      </c>
      <c r="F1194" t="s">
        <v>9</v>
      </c>
      <c r="G1194" s="15">
        <v>27.57</v>
      </c>
      <c r="H1194" t="s">
        <v>27</v>
      </c>
      <c r="I1194">
        <v>3</v>
      </c>
      <c r="J1194" t="s">
        <v>48</v>
      </c>
      <c r="K1194" t="s">
        <v>45</v>
      </c>
      <c r="L1194" t="s">
        <v>45</v>
      </c>
      <c r="M1194" t="s">
        <v>64</v>
      </c>
      <c r="N1194" s="15">
        <v>30.5</v>
      </c>
      <c r="O1194" s="16">
        <v>-9.6</v>
      </c>
      <c r="P1194">
        <v>0</v>
      </c>
    </row>
    <row r="1195" spans="1:16" x14ac:dyDescent="0.3">
      <c r="A1195" t="s">
        <v>57</v>
      </c>
      <c r="B1195" t="s">
        <v>17</v>
      </c>
      <c r="C1195" t="s">
        <v>17</v>
      </c>
      <c r="D1195" t="s">
        <v>15</v>
      </c>
      <c r="E1195" t="s">
        <v>75</v>
      </c>
      <c r="F1195" t="s">
        <v>9</v>
      </c>
      <c r="G1195" s="15">
        <v>107.63</v>
      </c>
      <c r="H1195" t="s">
        <v>26</v>
      </c>
      <c r="I1195">
        <v>2</v>
      </c>
      <c r="J1195" t="s">
        <v>48</v>
      </c>
      <c r="K1195" t="s">
        <v>45</v>
      </c>
      <c r="L1195" t="s">
        <v>45</v>
      </c>
      <c r="M1195" t="s">
        <v>64</v>
      </c>
      <c r="N1195" s="15">
        <v>120.06</v>
      </c>
      <c r="O1195" s="16">
        <v>-10.4</v>
      </c>
      <c r="P1195">
        <v>0</v>
      </c>
    </row>
    <row r="1196" spans="1:16" x14ac:dyDescent="0.3">
      <c r="A1196" t="s">
        <v>57</v>
      </c>
      <c r="B1196" t="s">
        <v>20</v>
      </c>
      <c r="C1196" t="s">
        <v>20</v>
      </c>
      <c r="D1196" t="s">
        <v>15</v>
      </c>
      <c r="E1196" t="s">
        <v>76</v>
      </c>
      <c r="F1196" t="s">
        <v>9</v>
      </c>
      <c r="G1196" s="15">
        <v>101.44</v>
      </c>
      <c r="H1196" t="s">
        <v>27</v>
      </c>
      <c r="I1196">
        <v>3</v>
      </c>
      <c r="J1196" t="s">
        <v>48</v>
      </c>
      <c r="K1196" t="s">
        <v>46</v>
      </c>
      <c r="L1196" t="s">
        <v>45</v>
      </c>
      <c r="M1196" t="s">
        <v>61</v>
      </c>
      <c r="N1196" s="15">
        <v>118.59</v>
      </c>
      <c r="O1196" s="16">
        <v>-14.5</v>
      </c>
      <c r="P1196">
        <v>0</v>
      </c>
    </row>
    <row r="1197" spans="1:16" x14ac:dyDescent="0.3">
      <c r="A1197" t="s">
        <v>65</v>
      </c>
      <c r="B1197" t="s">
        <v>22</v>
      </c>
      <c r="C1197" t="s">
        <v>22</v>
      </c>
      <c r="D1197" t="s">
        <v>14</v>
      </c>
      <c r="E1197" t="s">
        <v>63</v>
      </c>
      <c r="F1197" t="s">
        <v>9</v>
      </c>
      <c r="G1197" s="15">
        <v>73.41</v>
      </c>
      <c r="H1197" t="s">
        <v>25</v>
      </c>
      <c r="I1197">
        <v>1</v>
      </c>
      <c r="J1197" t="s">
        <v>47</v>
      </c>
      <c r="K1197" t="s">
        <v>45</v>
      </c>
      <c r="L1197" t="s">
        <v>45</v>
      </c>
      <c r="M1197" t="s">
        <v>68</v>
      </c>
      <c r="N1197" s="15">
        <v>68.150000000000006</v>
      </c>
      <c r="O1197" s="16">
        <v>7.7</v>
      </c>
      <c r="P1197">
        <v>0</v>
      </c>
    </row>
    <row r="1198" spans="1:16" x14ac:dyDescent="0.3">
      <c r="A1198" t="s">
        <v>57</v>
      </c>
      <c r="B1198" t="s">
        <v>17</v>
      </c>
      <c r="C1198" t="s">
        <v>17</v>
      </c>
      <c r="D1198" t="s">
        <v>15</v>
      </c>
      <c r="E1198" t="s">
        <v>75</v>
      </c>
      <c r="F1198" t="s">
        <v>9</v>
      </c>
      <c r="G1198" s="15">
        <v>110.12</v>
      </c>
      <c r="H1198" t="s">
        <v>26</v>
      </c>
      <c r="I1198">
        <v>2</v>
      </c>
      <c r="J1198" t="s">
        <v>48</v>
      </c>
      <c r="K1198" t="s">
        <v>46</v>
      </c>
      <c r="L1198" t="s">
        <v>45</v>
      </c>
      <c r="M1198" t="s">
        <v>68</v>
      </c>
      <c r="N1198" s="15">
        <v>120.06</v>
      </c>
      <c r="O1198" s="16">
        <v>-8.3000000000000007</v>
      </c>
      <c r="P1198">
        <v>0</v>
      </c>
    </row>
    <row r="1199" spans="1:16" x14ac:dyDescent="0.3">
      <c r="A1199" t="s">
        <v>65</v>
      </c>
      <c r="B1199" t="s">
        <v>19</v>
      </c>
      <c r="C1199" t="s">
        <v>19</v>
      </c>
      <c r="D1199" t="s">
        <v>10</v>
      </c>
      <c r="E1199" t="s">
        <v>69</v>
      </c>
      <c r="F1199" t="s">
        <v>9</v>
      </c>
      <c r="G1199" s="15">
        <v>200</v>
      </c>
      <c r="H1199" t="s">
        <v>26</v>
      </c>
      <c r="I1199">
        <v>2</v>
      </c>
      <c r="J1199" t="s">
        <v>47</v>
      </c>
      <c r="K1199" t="s">
        <v>45</v>
      </c>
      <c r="L1199" t="s">
        <v>45</v>
      </c>
      <c r="M1199" t="s">
        <v>72</v>
      </c>
      <c r="N1199" s="15">
        <v>158.91999999999999</v>
      </c>
      <c r="O1199" s="16">
        <v>25.8</v>
      </c>
      <c r="P1199">
        <v>1</v>
      </c>
    </row>
    <row r="1200" spans="1:16" x14ac:dyDescent="0.3">
      <c r="A1200" t="s">
        <v>60</v>
      </c>
      <c r="B1200" t="s">
        <v>20</v>
      </c>
      <c r="C1200" t="s">
        <v>20</v>
      </c>
      <c r="D1200" t="s">
        <v>11</v>
      </c>
      <c r="E1200" t="s">
        <v>70</v>
      </c>
      <c r="F1200" t="s">
        <v>9</v>
      </c>
      <c r="G1200" s="15">
        <v>30.76</v>
      </c>
      <c r="H1200" t="s">
        <v>26</v>
      </c>
      <c r="I1200">
        <v>2</v>
      </c>
      <c r="J1200" t="s">
        <v>48</v>
      </c>
      <c r="K1200" t="s">
        <v>46</v>
      </c>
      <c r="L1200" t="s">
        <v>45</v>
      </c>
      <c r="M1200" t="s">
        <v>67</v>
      </c>
      <c r="N1200" s="15">
        <v>31.4</v>
      </c>
      <c r="O1200" s="16">
        <v>-2</v>
      </c>
      <c r="P1200">
        <v>0</v>
      </c>
    </row>
    <row r="1201" spans="1:16" x14ac:dyDescent="0.3">
      <c r="A1201" t="s">
        <v>60</v>
      </c>
      <c r="B1201" t="s">
        <v>22</v>
      </c>
      <c r="C1201" t="s">
        <v>22</v>
      </c>
      <c r="D1201" t="s">
        <v>12</v>
      </c>
      <c r="E1201" t="s">
        <v>66</v>
      </c>
      <c r="F1201" t="s">
        <v>13</v>
      </c>
      <c r="G1201" s="15">
        <v>161.63</v>
      </c>
      <c r="H1201" t="s">
        <v>26</v>
      </c>
      <c r="I1201">
        <v>2</v>
      </c>
      <c r="J1201" t="s">
        <v>48</v>
      </c>
      <c r="K1201" t="s">
        <v>46</v>
      </c>
      <c r="L1201" t="s">
        <v>45</v>
      </c>
      <c r="M1201" t="s">
        <v>72</v>
      </c>
      <c r="N1201" s="15">
        <v>168.34</v>
      </c>
      <c r="O1201" s="16">
        <v>-4</v>
      </c>
      <c r="P1201">
        <v>0</v>
      </c>
    </row>
    <row r="1202" spans="1:16" x14ac:dyDescent="0.3">
      <c r="A1202" t="s">
        <v>65</v>
      </c>
      <c r="B1202" t="s">
        <v>19</v>
      </c>
      <c r="C1202" t="s">
        <v>19</v>
      </c>
      <c r="D1202" t="s">
        <v>12</v>
      </c>
      <c r="E1202" t="s">
        <v>66</v>
      </c>
      <c r="F1202" t="s">
        <v>13</v>
      </c>
      <c r="G1202" s="15">
        <v>200</v>
      </c>
      <c r="H1202" t="s">
        <v>26</v>
      </c>
      <c r="I1202">
        <v>2</v>
      </c>
      <c r="J1202" t="s">
        <v>47</v>
      </c>
      <c r="K1202" t="s">
        <v>45</v>
      </c>
      <c r="L1202" t="s">
        <v>46</v>
      </c>
      <c r="M1202" t="s">
        <v>59</v>
      </c>
      <c r="N1202" s="15">
        <v>178.49</v>
      </c>
      <c r="O1202" s="16">
        <v>12.1</v>
      </c>
      <c r="P1202">
        <v>0</v>
      </c>
    </row>
    <row r="1203" spans="1:16" x14ac:dyDescent="0.3">
      <c r="A1203" t="s">
        <v>65</v>
      </c>
      <c r="B1203" t="s">
        <v>19</v>
      </c>
      <c r="C1203" t="s">
        <v>19</v>
      </c>
      <c r="D1203" t="s">
        <v>8</v>
      </c>
      <c r="E1203" t="s">
        <v>74</v>
      </c>
      <c r="F1203" t="s">
        <v>9</v>
      </c>
      <c r="G1203" s="15">
        <v>75.69</v>
      </c>
      <c r="H1203" t="s">
        <v>27</v>
      </c>
      <c r="I1203">
        <v>3</v>
      </c>
      <c r="J1203" t="s">
        <v>48</v>
      </c>
      <c r="K1203" t="s">
        <v>46</v>
      </c>
      <c r="L1203" t="s">
        <v>45</v>
      </c>
      <c r="M1203" t="s">
        <v>68</v>
      </c>
      <c r="N1203" s="15">
        <v>91.13</v>
      </c>
      <c r="O1203" s="16">
        <v>-16.899999999999999</v>
      </c>
      <c r="P1203">
        <v>0</v>
      </c>
    </row>
    <row r="1204" spans="1:16" x14ac:dyDescent="0.3">
      <c r="A1204" t="s">
        <v>60</v>
      </c>
      <c r="B1204" t="s">
        <v>22</v>
      </c>
      <c r="C1204" t="s">
        <v>22</v>
      </c>
      <c r="D1204" t="s">
        <v>14</v>
      </c>
      <c r="E1204" t="s">
        <v>71</v>
      </c>
      <c r="F1204" t="s">
        <v>9</v>
      </c>
      <c r="G1204" s="15">
        <v>56.71</v>
      </c>
      <c r="H1204" t="s">
        <v>26</v>
      </c>
      <c r="I1204">
        <v>2</v>
      </c>
      <c r="J1204" t="s">
        <v>48</v>
      </c>
      <c r="K1204" t="s">
        <v>46</v>
      </c>
      <c r="L1204" t="s">
        <v>45</v>
      </c>
      <c r="M1204" t="s">
        <v>72</v>
      </c>
      <c r="N1204" s="15">
        <v>65.239999999999995</v>
      </c>
      <c r="O1204" s="16">
        <v>-13.1</v>
      </c>
      <c r="P1204">
        <v>0</v>
      </c>
    </row>
    <row r="1205" spans="1:16" x14ac:dyDescent="0.3">
      <c r="A1205" t="s">
        <v>57</v>
      </c>
      <c r="B1205" t="s">
        <v>19</v>
      </c>
      <c r="C1205" t="s">
        <v>19</v>
      </c>
      <c r="D1205" t="s">
        <v>11</v>
      </c>
      <c r="E1205" t="s">
        <v>70</v>
      </c>
      <c r="F1205" t="s">
        <v>9</v>
      </c>
      <c r="G1205" s="15">
        <v>30.6</v>
      </c>
      <c r="H1205" t="s">
        <v>26</v>
      </c>
      <c r="I1205">
        <v>2</v>
      </c>
      <c r="J1205" t="s">
        <v>48</v>
      </c>
      <c r="K1205" t="s">
        <v>46</v>
      </c>
      <c r="L1205" t="s">
        <v>46</v>
      </c>
      <c r="M1205" t="s">
        <v>72</v>
      </c>
      <c r="N1205" s="15">
        <v>30.5</v>
      </c>
      <c r="O1205" s="16">
        <v>0.3</v>
      </c>
      <c r="P1205">
        <v>0</v>
      </c>
    </row>
    <row r="1206" spans="1:16" x14ac:dyDescent="0.3">
      <c r="A1206" t="s">
        <v>60</v>
      </c>
      <c r="B1206" t="s">
        <v>19</v>
      </c>
      <c r="C1206" t="s">
        <v>19</v>
      </c>
      <c r="D1206" t="s">
        <v>8</v>
      </c>
      <c r="E1206" t="s">
        <v>74</v>
      </c>
      <c r="F1206" t="s">
        <v>9</v>
      </c>
      <c r="G1206" s="15">
        <v>77.16</v>
      </c>
      <c r="H1206" t="s">
        <v>26</v>
      </c>
      <c r="I1206">
        <v>2</v>
      </c>
      <c r="J1206" t="s">
        <v>48</v>
      </c>
      <c r="K1206" t="s">
        <v>45</v>
      </c>
      <c r="L1206" t="s">
        <v>45</v>
      </c>
      <c r="M1206" t="s">
        <v>59</v>
      </c>
      <c r="N1206" s="15">
        <v>78.260000000000005</v>
      </c>
      <c r="O1206" s="16">
        <v>-1.4</v>
      </c>
      <c r="P1206">
        <v>0</v>
      </c>
    </row>
    <row r="1207" spans="1:16" x14ac:dyDescent="0.3">
      <c r="A1207" t="s">
        <v>65</v>
      </c>
      <c r="B1207" t="s">
        <v>18</v>
      </c>
      <c r="C1207" t="s">
        <v>18</v>
      </c>
      <c r="D1207" t="s">
        <v>15</v>
      </c>
      <c r="E1207" t="s">
        <v>76</v>
      </c>
      <c r="F1207" t="s">
        <v>9</v>
      </c>
      <c r="G1207" s="15">
        <v>117.68</v>
      </c>
      <c r="H1207" t="s">
        <v>26</v>
      </c>
      <c r="I1207">
        <v>2</v>
      </c>
      <c r="J1207" t="s">
        <v>47</v>
      </c>
      <c r="K1207" t="s">
        <v>45</v>
      </c>
      <c r="L1207" t="s">
        <v>45</v>
      </c>
      <c r="M1207" t="s">
        <v>78</v>
      </c>
      <c r="N1207" s="15">
        <v>126.51</v>
      </c>
      <c r="O1207" s="16">
        <v>-7</v>
      </c>
      <c r="P1207">
        <v>0</v>
      </c>
    </row>
    <row r="1208" spans="1:16" x14ac:dyDescent="0.3">
      <c r="A1208" t="s">
        <v>65</v>
      </c>
      <c r="B1208" t="s">
        <v>22</v>
      </c>
      <c r="C1208" t="s">
        <v>22</v>
      </c>
      <c r="D1208" t="s">
        <v>12</v>
      </c>
      <c r="E1208" t="s">
        <v>80</v>
      </c>
      <c r="F1208" t="s">
        <v>13</v>
      </c>
      <c r="G1208" s="15">
        <v>153.30000000000001</v>
      </c>
      <c r="H1208" t="s">
        <v>26</v>
      </c>
      <c r="I1208">
        <v>2</v>
      </c>
      <c r="J1208" t="s">
        <v>47</v>
      </c>
      <c r="K1208" t="s">
        <v>46</v>
      </c>
      <c r="L1208" t="s">
        <v>45</v>
      </c>
      <c r="M1208" t="s">
        <v>61</v>
      </c>
      <c r="N1208" s="15">
        <v>176.57</v>
      </c>
      <c r="O1208" s="16">
        <v>-13.2</v>
      </c>
      <c r="P1208">
        <v>0</v>
      </c>
    </row>
    <row r="1209" spans="1:16" x14ac:dyDescent="0.3">
      <c r="A1209" t="s">
        <v>60</v>
      </c>
      <c r="B1209" t="s">
        <v>18</v>
      </c>
      <c r="C1209" t="s">
        <v>18</v>
      </c>
      <c r="D1209" t="s">
        <v>15</v>
      </c>
      <c r="E1209" t="s">
        <v>76</v>
      </c>
      <c r="F1209" t="s">
        <v>9</v>
      </c>
      <c r="G1209" s="15">
        <v>118.23</v>
      </c>
      <c r="H1209" t="s">
        <v>26</v>
      </c>
      <c r="I1209">
        <v>2</v>
      </c>
      <c r="J1209" t="s">
        <v>48</v>
      </c>
      <c r="K1209" t="s">
        <v>46</v>
      </c>
      <c r="L1209" t="s">
        <v>45</v>
      </c>
      <c r="M1209" t="s">
        <v>72</v>
      </c>
      <c r="N1209" s="15">
        <v>116.32</v>
      </c>
      <c r="O1209" s="16">
        <v>1.6</v>
      </c>
      <c r="P1209">
        <v>0</v>
      </c>
    </row>
    <row r="1210" spans="1:16" x14ac:dyDescent="0.3">
      <c r="A1210" t="s">
        <v>65</v>
      </c>
      <c r="B1210" t="s">
        <v>17</v>
      </c>
      <c r="C1210" t="s">
        <v>17</v>
      </c>
      <c r="D1210" t="s">
        <v>12</v>
      </c>
      <c r="E1210" t="s">
        <v>66</v>
      </c>
      <c r="F1210" t="s">
        <v>13</v>
      </c>
      <c r="G1210" s="15">
        <v>168.12</v>
      </c>
      <c r="H1210" t="s">
        <v>26</v>
      </c>
      <c r="I1210">
        <v>2</v>
      </c>
      <c r="J1210" t="s">
        <v>47</v>
      </c>
      <c r="K1210" t="s">
        <v>45</v>
      </c>
      <c r="L1210" t="s">
        <v>45</v>
      </c>
      <c r="M1210" t="s">
        <v>67</v>
      </c>
      <c r="N1210" s="15">
        <v>178.49</v>
      </c>
      <c r="O1210" s="16">
        <v>-5.8</v>
      </c>
      <c r="P1210">
        <v>0</v>
      </c>
    </row>
    <row r="1211" spans="1:16" x14ac:dyDescent="0.3">
      <c r="A1211" t="s">
        <v>60</v>
      </c>
      <c r="B1211" t="s">
        <v>19</v>
      </c>
      <c r="C1211" t="s">
        <v>19</v>
      </c>
      <c r="D1211" t="s">
        <v>11</v>
      </c>
      <c r="E1211" t="s">
        <v>79</v>
      </c>
      <c r="F1211" t="s">
        <v>9</v>
      </c>
      <c r="G1211" s="15">
        <v>30.34</v>
      </c>
      <c r="H1211" t="s">
        <v>26</v>
      </c>
      <c r="I1211">
        <v>2</v>
      </c>
      <c r="J1211" t="s">
        <v>48</v>
      </c>
      <c r="K1211" t="s">
        <v>45</v>
      </c>
      <c r="L1211" t="s">
        <v>45</v>
      </c>
      <c r="M1211" t="s">
        <v>67</v>
      </c>
      <c r="N1211" s="15">
        <v>29.14</v>
      </c>
      <c r="O1211" s="16">
        <v>4.0999999999999996</v>
      </c>
      <c r="P1211">
        <v>0</v>
      </c>
    </row>
    <row r="1212" spans="1:16" x14ac:dyDescent="0.3">
      <c r="A1212" t="s">
        <v>60</v>
      </c>
      <c r="B1212" t="s">
        <v>18</v>
      </c>
      <c r="C1212" t="s">
        <v>18</v>
      </c>
      <c r="D1212" t="s">
        <v>12</v>
      </c>
      <c r="E1212" t="s">
        <v>66</v>
      </c>
      <c r="F1212" t="s">
        <v>13</v>
      </c>
      <c r="G1212" s="15">
        <v>180.34</v>
      </c>
      <c r="H1212" t="s">
        <v>26</v>
      </c>
      <c r="I1212">
        <v>2</v>
      </c>
      <c r="J1212" t="s">
        <v>47</v>
      </c>
      <c r="K1212" t="s">
        <v>45</v>
      </c>
      <c r="L1212" t="s">
        <v>45</v>
      </c>
      <c r="M1212" t="s">
        <v>78</v>
      </c>
      <c r="N1212" s="15">
        <v>168.34</v>
      </c>
      <c r="O1212" s="16">
        <v>7.1</v>
      </c>
      <c r="P1212">
        <v>0</v>
      </c>
    </row>
    <row r="1213" spans="1:16" x14ac:dyDescent="0.3">
      <c r="A1213" t="s">
        <v>65</v>
      </c>
      <c r="B1213" t="s">
        <v>21</v>
      </c>
      <c r="C1213" t="s">
        <v>62</v>
      </c>
      <c r="D1213" t="s">
        <v>11</v>
      </c>
      <c r="E1213" t="s">
        <v>70</v>
      </c>
      <c r="F1213" t="s">
        <v>9</v>
      </c>
      <c r="G1213" s="15">
        <v>40</v>
      </c>
      <c r="H1213" t="s">
        <v>25</v>
      </c>
      <c r="I1213">
        <v>1</v>
      </c>
      <c r="J1213" t="s">
        <v>48</v>
      </c>
      <c r="K1213" t="s">
        <v>45</v>
      </c>
      <c r="L1213" t="s">
        <v>46</v>
      </c>
      <c r="M1213" t="s">
        <v>61</v>
      </c>
      <c r="N1213" s="15">
        <v>32.630000000000003</v>
      </c>
      <c r="O1213" s="16">
        <v>22.6</v>
      </c>
      <c r="P1213">
        <v>1</v>
      </c>
    </row>
    <row r="1214" spans="1:16" x14ac:dyDescent="0.3">
      <c r="A1214" t="s">
        <v>60</v>
      </c>
      <c r="B1214" t="s">
        <v>19</v>
      </c>
      <c r="C1214" t="s">
        <v>19</v>
      </c>
      <c r="D1214" t="s">
        <v>12</v>
      </c>
      <c r="E1214" t="s">
        <v>80</v>
      </c>
      <c r="F1214" t="s">
        <v>13</v>
      </c>
      <c r="G1214" s="15">
        <v>181.56</v>
      </c>
      <c r="H1214" t="s">
        <v>25</v>
      </c>
      <c r="I1214">
        <v>1</v>
      </c>
      <c r="J1214" t="s">
        <v>48</v>
      </c>
      <c r="K1214" t="s">
        <v>45</v>
      </c>
      <c r="L1214" t="s">
        <v>45</v>
      </c>
      <c r="M1214" t="s">
        <v>59</v>
      </c>
      <c r="N1214" s="15">
        <v>167.63</v>
      </c>
      <c r="O1214" s="16">
        <v>8.3000000000000007</v>
      </c>
      <c r="P1214">
        <v>0</v>
      </c>
    </row>
    <row r="1215" spans="1:16" x14ac:dyDescent="0.3">
      <c r="A1215" t="s">
        <v>57</v>
      </c>
      <c r="B1215" t="s">
        <v>19</v>
      </c>
      <c r="C1215" t="s">
        <v>19</v>
      </c>
      <c r="D1215" t="s">
        <v>11</v>
      </c>
      <c r="E1215" t="s">
        <v>79</v>
      </c>
      <c r="F1215" t="s">
        <v>9</v>
      </c>
      <c r="G1215" s="15">
        <v>25.76</v>
      </c>
      <c r="H1215" t="s">
        <v>27</v>
      </c>
      <c r="I1215">
        <v>3</v>
      </c>
      <c r="J1215" t="s">
        <v>48</v>
      </c>
      <c r="K1215" t="s">
        <v>46</v>
      </c>
      <c r="L1215" t="s">
        <v>45</v>
      </c>
      <c r="M1215" t="s">
        <v>64</v>
      </c>
      <c r="N1215" s="15">
        <v>30.93</v>
      </c>
      <c r="O1215" s="16">
        <v>-16.7</v>
      </c>
      <c r="P1215">
        <v>0</v>
      </c>
    </row>
    <row r="1216" spans="1:16" x14ac:dyDescent="0.3">
      <c r="A1216" t="s">
        <v>60</v>
      </c>
      <c r="B1216" t="s">
        <v>22</v>
      </c>
      <c r="C1216" t="s">
        <v>22</v>
      </c>
      <c r="D1216" t="s">
        <v>12</v>
      </c>
      <c r="E1216" t="s">
        <v>80</v>
      </c>
      <c r="F1216" t="s">
        <v>13</v>
      </c>
      <c r="G1216" s="15">
        <v>148.6</v>
      </c>
      <c r="H1216" t="s">
        <v>26</v>
      </c>
      <c r="I1216">
        <v>2</v>
      </c>
      <c r="J1216" t="s">
        <v>48</v>
      </c>
      <c r="K1216" t="s">
        <v>46</v>
      </c>
      <c r="L1216" t="s">
        <v>46</v>
      </c>
      <c r="M1216" t="s">
        <v>72</v>
      </c>
      <c r="N1216" s="15">
        <v>167.63</v>
      </c>
      <c r="O1216" s="16">
        <v>-11.4</v>
      </c>
      <c r="P1216">
        <v>0</v>
      </c>
    </row>
    <row r="1217" spans="1:16" x14ac:dyDescent="0.3">
      <c r="A1217" t="s">
        <v>65</v>
      </c>
      <c r="B1217" t="s">
        <v>17</v>
      </c>
      <c r="C1217" t="s">
        <v>17</v>
      </c>
      <c r="D1217" t="s">
        <v>10</v>
      </c>
      <c r="E1217" t="s">
        <v>58</v>
      </c>
      <c r="F1217" t="s">
        <v>9</v>
      </c>
      <c r="G1217" s="15">
        <v>160.33000000000001</v>
      </c>
      <c r="H1217" t="s">
        <v>26</v>
      </c>
      <c r="I1217">
        <v>2</v>
      </c>
      <c r="J1217" t="s">
        <v>47</v>
      </c>
      <c r="K1217" t="s">
        <v>45</v>
      </c>
      <c r="L1217" t="s">
        <v>46</v>
      </c>
      <c r="M1217" t="s">
        <v>64</v>
      </c>
      <c r="N1217" s="15">
        <v>166.29</v>
      </c>
      <c r="O1217" s="16">
        <v>-3.6</v>
      </c>
      <c r="P1217">
        <v>0</v>
      </c>
    </row>
    <row r="1218" spans="1:16" x14ac:dyDescent="0.3">
      <c r="A1218" t="s">
        <v>57</v>
      </c>
      <c r="B1218" t="s">
        <v>20</v>
      </c>
      <c r="C1218" t="s">
        <v>20</v>
      </c>
      <c r="D1218" t="s">
        <v>8</v>
      </c>
      <c r="E1218" t="s">
        <v>73</v>
      </c>
      <c r="F1218" t="s">
        <v>9</v>
      </c>
      <c r="G1218" s="15">
        <v>85.91</v>
      </c>
      <c r="H1218" t="s">
        <v>27</v>
      </c>
      <c r="I1218">
        <v>3</v>
      </c>
      <c r="J1218" t="s">
        <v>48</v>
      </c>
      <c r="K1218" t="s">
        <v>46</v>
      </c>
      <c r="L1218" t="s">
        <v>46</v>
      </c>
      <c r="M1218" t="s">
        <v>61</v>
      </c>
      <c r="N1218" s="15">
        <v>86.06</v>
      </c>
      <c r="O1218" s="16">
        <v>-0.2</v>
      </c>
      <c r="P1218">
        <v>0</v>
      </c>
    </row>
    <row r="1219" spans="1:16" x14ac:dyDescent="0.3">
      <c r="A1219" t="s">
        <v>65</v>
      </c>
      <c r="B1219" t="s">
        <v>19</v>
      </c>
      <c r="C1219" t="s">
        <v>19</v>
      </c>
      <c r="D1219" t="s">
        <v>15</v>
      </c>
      <c r="E1219" t="s">
        <v>76</v>
      </c>
      <c r="F1219" t="s">
        <v>9</v>
      </c>
      <c r="G1219" s="15">
        <v>140</v>
      </c>
      <c r="H1219" t="s">
        <v>26</v>
      </c>
      <c r="I1219">
        <v>2</v>
      </c>
      <c r="J1219" t="s">
        <v>47</v>
      </c>
      <c r="K1219" t="s">
        <v>45</v>
      </c>
      <c r="L1219" t="s">
        <v>46</v>
      </c>
      <c r="M1219" t="s">
        <v>61</v>
      </c>
      <c r="N1219" s="15">
        <v>126.51</v>
      </c>
      <c r="O1219" s="16">
        <v>10.7</v>
      </c>
      <c r="P1219">
        <v>0</v>
      </c>
    </row>
    <row r="1220" spans="1:16" x14ac:dyDescent="0.3">
      <c r="A1220" t="s">
        <v>65</v>
      </c>
      <c r="B1220" t="s">
        <v>20</v>
      </c>
      <c r="C1220" t="s">
        <v>20</v>
      </c>
      <c r="D1220" t="s">
        <v>15</v>
      </c>
      <c r="E1220" t="s">
        <v>75</v>
      </c>
      <c r="F1220" t="s">
        <v>9</v>
      </c>
      <c r="G1220" s="15">
        <v>140</v>
      </c>
      <c r="H1220" t="s">
        <v>25</v>
      </c>
      <c r="I1220">
        <v>1</v>
      </c>
      <c r="J1220" t="s">
        <v>47</v>
      </c>
      <c r="K1220" t="s">
        <v>45</v>
      </c>
      <c r="L1220" t="s">
        <v>45</v>
      </c>
      <c r="M1220" t="s">
        <v>68</v>
      </c>
      <c r="N1220" s="15">
        <v>126.9</v>
      </c>
      <c r="O1220" s="16">
        <v>10.3</v>
      </c>
      <c r="P1220">
        <v>0</v>
      </c>
    </row>
    <row r="1221" spans="1:16" x14ac:dyDescent="0.3">
      <c r="A1221" t="s">
        <v>57</v>
      </c>
      <c r="B1221" t="s">
        <v>21</v>
      </c>
      <c r="C1221" t="s">
        <v>62</v>
      </c>
      <c r="D1221" t="s">
        <v>15</v>
      </c>
      <c r="E1221" t="s">
        <v>76</v>
      </c>
      <c r="F1221" t="s">
        <v>9</v>
      </c>
      <c r="G1221" s="15">
        <v>140</v>
      </c>
      <c r="H1221" t="s">
        <v>25</v>
      </c>
      <c r="I1221">
        <v>1</v>
      </c>
      <c r="J1221" t="s">
        <v>47</v>
      </c>
      <c r="K1221" t="s">
        <v>45</v>
      </c>
      <c r="L1221" t="s">
        <v>45</v>
      </c>
      <c r="M1221" t="s">
        <v>78</v>
      </c>
      <c r="N1221" s="15">
        <v>118.59</v>
      </c>
      <c r="O1221" s="16">
        <v>18.100000000000001</v>
      </c>
      <c r="P1221">
        <v>1</v>
      </c>
    </row>
    <row r="1222" spans="1:16" x14ac:dyDescent="0.3">
      <c r="A1222" t="s">
        <v>60</v>
      </c>
      <c r="B1222" t="s">
        <v>21</v>
      </c>
      <c r="C1222" t="s">
        <v>62</v>
      </c>
      <c r="D1222" t="s">
        <v>11</v>
      </c>
      <c r="E1222" t="s">
        <v>79</v>
      </c>
      <c r="F1222" t="s">
        <v>9</v>
      </c>
      <c r="G1222" s="15">
        <v>33.56</v>
      </c>
      <c r="H1222" t="s">
        <v>27</v>
      </c>
      <c r="I1222">
        <v>3</v>
      </c>
      <c r="J1222" t="s">
        <v>48</v>
      </c>
      <c r="K1222" t="s">
        <v>45</v>
      </c>
      <c r="L1222" t="s">
        <v>45</v>
      </c>
      <c r="M1222" t="s">
        <v>67</v>
      </c>
      <c r="N1222" s="15">
        <v>29.14</v>
      </c>
      <c r="O1222" s="16">
        <v>15.1</v>
      </c>
      <c r="P1222">
        <v>1</v>
      </c>
    </row>
    <row r="1223" spans="1:16" x14ac:dyDescent="0.3">
      <c r="A1223" t="s">
        <v>65</v>
      </c>
      <c r="B1223" t="s">
        <v>22</v>
      </c>
      <c r="C1223" t="s">
        <v>22</v>
      </c>
      <c r="D1223" t="s">
        <v>15</v>
      </c>
      <c r="E1223" t="s">
        <v>76</v>
      </c>
      <c r="F1223" t="s">
        <v>9</v>
      </c>
      <c r="G1223" s="15">
        <v>139.52000000000001</v>
      </c>
      <c r="H1223" t="s">
        <v>26</v>
      </c>
      <c r="I1223">
        <v>2</v>
      </c>
      <c r="J1223" t="s">
        <v>47</v>
      </c>
      <c r="K1223" t="s">
        <v>45</v>
      </c>
      <c r="L1223" t="s">
        <v>45</v>
      </c>
      <c r="M1223" t="s">
        <v>72</v>
      </c>
      <c r="N1223" s="15">
        <v>126.51</v>
      </c>
      <c r="O1223" s="16">
        <v>10.3</v>
      </c>
      <c r="P1223">
        <v>0</v>
      </c>
    </row>
    <row r="1224" spans="1:16" x14ac:dyDescent="0.3">
      <c r="A1224" t="s">
        <v>60</v>
      </c>
      <c r="B1224" t="s">
        <v>17</v>
      </c>
      <c r="C1224" t="s">
        <v>17</v>
      </c>
      <c r="D1224" t="s">
        <v>12</v>
      </c>
      <c r="E1224" t="s">
        <v>66</v>
      </c>
      <c r="F1224" t="s">
        <v>13</v>
      </c>
      <c r="G1224" s="15">
        <v>183.75</v>
      </c>
      <c r="H1224" t="s">
        <v>25</v>
      </c>
      <c r="I1224">
        <v>1</v>
      </c>
      <c r="J1224" t="s">
        <v>48</v>
      </c>
      <c r="K1224" t="s">
        <v>45</v>
      </c>
      <c r="L1224" t="s">
        <v>45</v>
      </c>
      <c r="M1224" t="s">
        <v>64</v>
      </c>
      <c r="N1224" s="15">
        <v>168.34</v>
      </c>
      <c r="O1224" s="16">
        <v>9.1999999999999993</v>
      </c>
      <c r="P1224">
        <v>0</v>
      </c>
    </row>
    <row r="1225" spans="1:16" x14ac:dyDescent="0.3">
      <c r="A1225" t="s">
        <v>60</v>
      </c>
      <c r="B1225" t="s">
        <v>19</v>
      </c>
      <c r="C1225" t="s">
        <v>19</v>
      </c>
      <c r="D1225" t="s">
        <v>12</v>
      </c>
      <c r="E1225" t="s">
        <v>66</v>
      </c>
      <c r="F1225" t="s">
        <v>13</v>
      </c>
      <c r="G1225" s="15">
        <v>198.54</v>
      </c>
      <c r="H1225" t="s">
        <v>25</v>
      </c>
      <c r="I1225">
        <v>1</v>
      </c>
      <c r="J1225" t="s">
        <v>48</v>
      </c>
      <c r="K1225" t="s">
        <v>45</v>
      </c>
      <c r="L1225" t="s">
        <v>45</v>
      </c>
      <c r="M1225" t="s">
        <v>64</v>
      </c>
      <c r="N1225" s="15">
        <v>168.34</v>
      </c>
      <c r="O1225" s="16">
        <v>17.899999999999999</v>
      </c>
      <c r="P1225">
        <v>1</v>
      </c>
    </row>
    <row r="1226" spans="1:16" x14ac:dyDescent="0.3">
      <c r="A1226" t="s">
        <v>65</v>
      </c>
      <c r="B1226" t="s">
        <v>17</v>
      </c>
      <c r="C1226" t="s">
        <v>17</v>
      </c>
      <c r="D1226" t="s">
        <v>10</v>
      </c>
      <c r="E1226" t="s">
        <v>58</v>
      </c>
      <c r="F1226" t="s">
        <v>9</v>
      </c>
      <c r="G1226" s="15">
        <v>199.36</v>
      </c>
      <c r="H1226" t="s">
        <v>25</v>
      </c>
      <c r="I1226">
        <v>1</v>
      </c>
      <c r="J1226" t="s">
        <v>47</v>
      </c>
      <c r="K1226" t="s">
        <v>46</v>
      </c>
      <c r="L1226" t="s">
        <v>46</v>
      </c>
      <c r="M1226" t="s">
        <v>72</v>
      </c>
      <c r="N1226" s="15">
        <v>166.29</v>
      </c>
      <c r="O1226" s="16">
        <v>19.899999999999999</v>
      </c>
      <c r="P1226">
        <v>1</v>
      </c>
    </row>
    <row r="1227" spans="1:16" x14ac:dyDescent="0.3">
      <c r="A1227" t="s">
        <v>65</v>
      </c>
      <c r="B1227" t="s">
        <v>18</v>
      </c>
      <c r="C1227" t="s">
        <v>18</v>
      </c>
      <c r="D1227" t="s">
        <v>11</v>
      </c>
      <c r="E1227" t="s">
        <v>70</v>
      </c>
      <c r="F1227" t="s">
        <v>9</v>
      </c>
      <c r="G1227" s="15">
        <v>28.31</v>
      </c>
      <c r="H1227" t="s">
        <v>27</v>
      </c>
      <c r="I1227">
        <v>3</v>
      </c>
      <c r="J1227" t="s">
        <v>47</v>
      </c>
      <c r="K1227" t="s">
        <v>45</v>
      </c>
      <c r="L1227" t="s">
        <v>45</v>
      </c>
      <c r="M1227" t="s">
        <v>59</v>
      </c>
      <c r="N1227" s="15">
        <v>32.630000000000003</v>
      </c>
      <c r="O1227" s="16">
        <v>-13.2</v>
      </c>
      <c r="P1227">
        <v>0</v>
      </c>
    </row>
    <row r="1228" spans="1:16" x14ac:dyDescent="0.3">
      <c r="A1228" t="s">
        <v>57</v>
      </c>
      <c r="B1228" t="s">
        <v>17</v>
      </c>
      <c r="C1228" t="s">
        <v>17</v>
      </c>
      <c r="D1228" t="s">
        <v>11</v>
      </c>
      <c r="E1228" t="s">
        <v>70</v>
      </c>
      <c r="F1228" t="s">
        <v>9</v>
      </c>
      <c r="G1228" s="15">
        <v>30.61</v>
      </c>
      <c r="H1228" t="s">
        <v>27</v>
      </c>
      <c r="I1228">
        <v>3</v>
      </c>
      <c r="J1228" t="s">
        <v>48</v>
      </c>
      <c r="K1228" t="s">
        <v>46</v>
      </c>
      <c r="L1228" t="s">
        <v>45</v>
      </c>
      <c r="M1228" t="s">
        <v>61</v>
      </c>
      <c r="N1228" s="15">
        <v>30.5</v>
      </c>
      <c r="O1228" s="16">
        <v>0.4</v>
      </c>
      <c r="P1228">
        <v>0</v>
      </c>
    </row>
    <row r="1229" spans="1:16" x14ac:dyDescent="0.3">
      <c r="A1229" t="s">
        <v>60</v>
      </c>
      <c r="B1229" t="s">
        <v>20</v>
      </c>
      <c r="C1229" t="s">
        <v>20</v>
      </c>
      <c r="D1229" t="s">
        <v>14</v>
      </c>
      <c r="E1229" t="s">
        <v>63</v>
      </c>
      <c r="F1229" t="s">
        <v>9</v>
      </c>
      <c r="G1229" s="15">
        <v>67.599999999999994</v>
      </c>
      <c r="H1229" t="s">
        <v>25</v>
      </c>
      <c r="I1229">
        <v>1</v>
      </c>
      <c r="J1229" t="s">
        <v>47</v>
      </c>
      <c r="K1229" t="s">
        <v>46</v>
      </c>
      <c r="L1229" t="s">
        <v>45</v>
      </c>
      <c r="M1229" t="s">
        <v>72</v>
      </c>
      <c r="N1229" s="15">
        <v>66.680000000000007</v>
      </c>
      <c r="O1229" s="16">
        <v>1.4</v>
      </c>
      <c r="P1229">
        <v>0</v>
      </c>
    </row>
    <row r="1230" spans="1:16" x14ac:dyDescent="0.3">
      <c r="A1230" t="s">
        <v>57</v>
      </c>
      <c r="B1230" t="s">
        <v>19</v>
      </c>
      <c r="C1230" t="s">
        <v>19</v>
      </c>
      <c r="D1230" t="s">
        <v>15</v>
      </c>
      <c r="E1230" t="s">
        <v>75</v>
      </c>
      <c r="F1230" t="s">
        <v>9</v>
      </c>
      <c r="G1230" s="15">
        <v>140</v>
      </c>
      <c r="H1230" t="s">
        <v>25</v>
      </c>
      <c r="I1230">
        <v>1</v>
      </c>
      <c r="J1230" t="s">
        <v>47</v>
      </c>
      <c r="K1230" t="s">
        <v>45</v>
      </c>
      <c r="L1230" t="s">
        <v>46</v>
      </c>
      <c r="M1230" t="s">
        <v>72</v>
      </c>
      <c r="N1230" s="15">
        <v>120.06</v>
      </c>
      <c r="O1230" s="16">
        <v>16.600000000000001</v>
      </c>
      <c r="P1230">
        <v>1</v>
      </c>
    </row>
    <row r="1231" spans="1:16" x14ac:dyDescent="0.3">
      <c r="A1231" t="s">
        <v>60</v>
      </c>
      <c r="B1231" t="s">
        <v>17</v>
      </c>
      <c r="C1231" t="s">
        <v>17</v>
      </c>
      <c r="D1231" t="s">
        <v>11</v>
      </c>
      <c r="E1231" t="s">
        <v>79</v>
      </c>
      <c r="F1231" t="s">
        <v>9</v>
      </c>
      <c r="G1231" s="15">
        <v>33.950000000000003</v>
      </c>
      <c r="H1231" t="s">
        <v>26</v>
      </c>
      <c r="I1231">
        <v>2</v>
      </c>
      <c r="J1231" t="s">
        <v>47</v>
      </c>
      <c r="K1231" t="s">
        <v>45</v>
      </c>
      <c r="L1231" t="s">
        <v>45</v>
      </c>
      <c r="M1231" t="s">
        <v>72</v>
      </c>
      <c r="N1231" s="15">
        <v>29.14</v>
      </c>
      <c r="O1231" s="16">
        <v>16.5</v>
      </c>
      <c r="P1231">
        <v>1</v>
      </c>
    </row>
    <row r="1232" spans="1:16" x14ac:dyDescent="0.3">
      <c r="A1232" t="s">
        <v>65</v>
      </c>
      <c r="B1232" t="s">
        <v>22</v>
      </c>
      <c r="C1232" t="s">
        <v>22</v>
      </c>
      <c r="D1232" t="s">
        <v>15</v>
      </c>
      <c r="E1232" t="s">
        <v>76</v>
      </c>
      <c r="F1232" t="s">
        <v>9</v>
      </c>
      <c r="G1232" s="15">
        <v>136.05000000000001</v>
      </c>
      <c r="H1232" t="s">
        <v>26</v>
      </c>
      <c r="I1232">
        <v>2</v>
      </c>
      <c r="J1232" t="s">
        <v>48</v>
      </c>
      <c r="K1232" t="s">
        <v>45</v>
      </c>
      <c r="L1232" t="s">
        <v>45</v>
      </c>
      <c r="M1232" t="s">
        <v>67</v>
      </c>
      <c r="N1232" s="15">
        <v>126.51</v>
      </c>
      <c r="O1232" s="16">
        <v>7.5</v>
      </c>
      <c r="P1232">
        <v>0</v>
      </c>
    </row>
    <row r="1233" spans="1:16" x14ac:dyDescent="0.3">
      <c r="A1233" t="s">
        <v>60</v>
      </c>
      <c r="B1233" t="s">
        <v>20</v>
      </c>
      <c r="C1233" t="s">
        <v>20</v>
      </c>
      <c r="D1233" t="s">
        <v>10</v>
      </c>
      <c r="E1233" t="s">
        <v>58</v>
      </c>
      <c r="F1233" t="s">
        <v>9</v>
      </c>
      <c r="G1233" s="15">
        <v>126.83</v>
      </c>
      <c r="H1233" t="s">
        <v>27</v>
      </c>
      <c r="I1233">
        <v>3</v>
      </c>
      <c r="J1233" t="s">
        <v>47</v>
      </c>
      <c r="K1233" t="s">
        <v>46</v>
      </c>
      <c r="L1233" t="s">
        <v>45</v>
      </c>
      <c r="M1233" t="s">
        <v>67</v>
      </c>
      <c r="N1233" s="15">
        <v>152.03</v>
      </c>
      <c r="O1233" s="16">
        <v>-16.600000000000001</v>
      </c>
      <c r="P1233">
        <v>0</v>
      </c>
    </row>
    <row r="1234" spans="1:16" x14ac:dyDescent="0.3">
      <c r="A1234" t="s">
        <v>57</v>
      </c>
      <c r="B1234" t="s">
        <v>22</v>
      </c>
      <c r="C1234" t="s">
        <v>22</v>
      </c>
      <c r="D1234" t="s">
        <v>11</v>
      </c>
      <c r="E1234" t="s">
        <v>70</v>
      </c>
      <c r="F1234" t="s">
        <v>9</v>
      </c>
      <c r="G1234" s="15">
        <v>31.19</v>
      </c>
      <c r="H1234" t="s">
        <v>26</v>
      </c>
      <c r="I1234">
        <v>2</v>
      </c>
      <c r="J1234" t="s">
        <v>48</v>
      </c>
      <c r="K1234" t="s">
        <v>45</v>
      </c>
      <c r="L1234" t="s">
        <v>45</v>
      </c>
      <c r="M1234" t="s">
        <v>59</v>
      </c>
      <c r="N1234" s="15">
        <v>30.5</v>
      </c>
      <c r="O1234" s="16">
        <v>2.2999999999999998</v>
      </c>
      <c r="P1234">
        <v>0</v>
      </c>
    </row>
    <row r="1235" spans="1:16" x14ac:dyDescent="0.3">
      <c r="A1235" t="s">
        <v>65</v>
      </c>
      <c r="B1235" t="s">
        <v>21</v>
      </c>
      <c r="C1235" t="s">
        <v>62</v>
      </c>
      <c r="D1235" t="s">
        <v>8</v>
      </c>
      <c r="E1235" t="s">
        <v>73</v>
      </c>
      <c r="F1235" t="s">
        <v>9</v>
      </c>
      <c r="G1235" s="15">
        <v>82.36</v>
      </c>
      <c r="H1235" t="s">
        <v>27</v>
      </c>
      <c r="I1235">
        <v>3</v>
      </c>
      <c r="J1235" t="s">
        <v>48</v>
      </c>
      <c r="K1235" t="s">
        <v>45</v>
      </c>
      <c r="L1235" t="s">
        <v>46</v>
      </c>
      <c r="M1235" t="s">
        <v>68</v>
      </c>
      <c r="N1235" s="15">
        <v>88.05</v>
      </c>
      <c r="O1235" s="16">
        <v>-6.5</v>
      </c>
      <c r="P1235">
        <v>0</v>
      </c>
    </row>
    <row r="1236" spans="1:16" x14ac:dyDescent="0.3">
      <c r="A1236" t="s">
        <v>60</v>
      </c>
      <c r="B1236" t="s">
        <v>17</v>
      </c>
      <c r="C1236" t="s">
        <v>17</v>
      </c>
      <c r="D1236" t="s">
        <v>14</v>
      </c>
      <c r="E1236" t="s">
        <v>63</v>
      </c>
      <c r="F1236" t="s">
        <v>9</v>
      </c>
      <c r="G1236" s="15">
        <v>80</v>
      </c>
      <c r="H1236" t="s">
        <v>25</v>
      </c>
      <c r="I1236">
        <v>1</v>
      </c>
      <c r="J1236" t="s">
        <v>47</v>
      </c>
      <c r="K1236" t="s">
        <v>46</v>
      </c>
      <c r="L1236" t="s">
        <v>45</v>
      </c>
      <c r="M1236" t="s">
        <v>67</v>
      </c>
      <c r="N1236" s="15">
        <v>66.680000000000007</v>
      </c>
      <c r="O1236" s="16">
        <v>20</v>
      </c>
      <c r="P1236">
        <v>1</v>
      </c>
    </row>
    <row r="1237" spans="1:16" x14ac:dyDescent="0.3">
      <c r="A1237" t="s">
        <v>65</v>
      </c>
      <c r="B1237" t="s">
        <v>19</v>
      </c>
      <c r="C1237" t="s">
        <v>19</v>
      </c>
      <c r="D1237" t="s">
        <v>12</v>
      </c>
      <c r="E1237" t="s">
        <v>66</v>
      </c>
      <c r="F1237" t="s">
        <v>13</v>
      </c>
      <c r="G1237" s="15">
        <v>168.13</v>
      </c>
      <c r="H1237" t="s">
        <v>27</v>
      </c>
      <c r="I1237">
        <v>3</v>
      </c>
      <c r="J1237" t="s">
        <v>48</v>
      </c>
      <c r="K1237" t="s">
        <v>45</v>
      </c>
      <c r="L1237" t="s">
        <v>46</v>
      </c>
      <c r="M1237" t="s">
        <v>72</v>
      </c>
      <c r="N1237" s="15">
        <v>178.49</v>
      </c>
      <c r="O1237" s="16">
        <v>-5.8</v>
      </c>
      <c r="P1237">
        <v>0</v>
      </c>
    </row>
    <row r="1238" spans="1:16" x14ac:dyDescent="0.3">
      <c r="A1238" t="s">
        <v>65</v>
      </c>
      <c r="B1238" t="s">
        <v>18</v>
      </c>
      <c r="C1238" t="s">
        <v>18</v>
      </c>
      <c r="D1238" t="s">
        <v>14</v>
      </c>
      <c r="E1238" t="s">
        <v>71</v>
      </c>
      <c r="F1238" t="s">
        <v>9</v>
      </c>
      <c r="G1238" s="15">
        <v>72.739999999999995</v>
      </c>
      <c r="H1238" t="s">
        <v>26</v>
      </c>
      <c r="I1238">
        <v>2</v>
      </c>
      <c r="J1238" t="s">
        <v>44</v>
      </c>
      <c r="K1238" t="s">
        <v>46</v>
      </c>
      <c r="L1238" t="s">
        <v>45</v>
      </c>
      <c r="M1238" t="s">
        <v>78</v>
      </c>
      <c r="N1238" s="15">
        <v>71.77</v>
      </c>
      <c r="O1238" s="16">
        <v>1.4</v>
      </c>
      <c r="P1238">
        <v>0</v>
      </c>
    </row>
    <row r="1239" spans="1:16" x14ac:dyDescent="0.3">
      <c r="A1239" t="s">
        <v>65</v>
      </c>
      <c r="B1239" t="s">
        <v>19</v>
      </c>
      <c r="C1239" t="s">
        <v>19</v>
      </c>
      <c r="D1239" t="s">
        <v>12</v>
      </c>
      <c r="E1239" t="s">
        <v>80</v>
      </c>
      <c r="F1239" t="s">
        <v>13</v>
      </c>
      <c r="G1239" s="15">
        <v>150.03</v>
      </c>
      <c r="H1239" t="s">
        <v>27</v>
      </c>
      <c r="I1239">
        <v>3</v>
      </c>
      <c r="J1239" t="s">
        <v>47</v>
      </c>
      <c r="K1239" t="s">
        <v>46</v>
      </c>
      <c r="L1239" t="s">
        <v>45</v>
      </c>
      <c r="M1239" t="s">
        <v>61</v>
      </c>
      <c r="N1239" s="15">
        <v>176.57</v>
      </c>
      <c r="O1239" s="16">
        <v>-15</v>
      </c>
      <c r="P1239">
        <v>0</v>
      </c>
    </row>
    <row r="1240" spans="1:16" x14ac:dyDescent="0.3">
      <c r="A1240" t="s">
        <v>57</v>
      </c>
      <c r="B1240" t="s">
        <v>21</v>
      </c>
      <c r="C1240" t="s">
        <v>62</v>
      </c>
      <c r="D1240" t="s">
        <v>8</v>
      </c>
      <c r="E1240" t="s">
        <v>74</v>
      </c>
      <c r="F1240" t="s">
        <v>9</v>
      </c>
      <c r="G1240" s="15">
        <v>70.12</v>
      </c>
      <c r="H1240" t="s">
        <v>26</v>
      </c>
      <c r="I1240">
        <v>2</v>
      </c>
      <c r="J1240" t="s">
        <v>48</v>
      </c>
      <c r="K1240" t="s">
        <v>46</v>
      </c>
      <c r="L1240" t="s">
        <v>45</v>
      </c>
      <c r="M1240" t="s">
        <v>72</v>
      </c>
      <c r="N1240" s="15">
        <v>83.41</v>
      </c>
      <c r="O1240" s="16">
        <v>-15.9</v>
      </c>
      <c r="P1240">
        <v>0</v>
      </c>
    </row>
    <row r="1241" spans="1:16" x14ac:dyDescent="0.3">
      <c r="A1241" t="s">
        <v>65</v>
      </c>
      <c r="B1241" t="s">
        <v>19</v>
      </c>
      <c r="C1241" t="s">
        <v>19</v>
      </c>
      <c r="D1241" t="s">
        <v>12</v>
      </c>
      <c r="E1241" t="s">
        <v>80</v>
      </c>
      <c r="F1241" t="s">
        <v>13</v>
      </c>
      <c r="G1241" s="15">
        <v>186.04</v>
      </c>
      <c r="H1241" t="s">
        <v>26</v>
      </c>
      <c r="I1241">
        <v>2</v>
      </c>
      <c r="J1241" t="s">
        <v>47</v>
      </c>
      <c r="K1241" t="s">
        <v>45</v>
      </c>
      <c r="L1241" t="s">
        <v>46</v>
      </c>
      <c r="M1241" t="s">
        <v>78</v>
      </c>
      <c r="N1241" s="15">
        <v>176.57</v>
      </c>
      <c r="O1241" s="16">
        <v>5.4</v>
      </c>
      <c r="P1241">
        <v>0</v>
      </c>
    </row>
    <row r="1242" spans="1:16" x14ac:dyDescent="0.3">
      <c r="A1242" t="s">
        <v>60</v>
      </c>
      <c r="B1242" t="s">
        <v>18</v>
      </c>
      <c r="C1242" t="s">
        <v>18</v>
      </c>
      <c r="D1242" t="s">
        <v>8</v>
      </c>
      <c r="E1242" t="s">
        <v>74</v>
      </c>
      <c r="F1242" t="s">
        <v>9</v>
      </c>
      <c r="G1242" s="15">
        <v>64.42</v>
      </c>
      <c r="H1242" t="s">
        <v>27</v>
      </c>
      <c r="I1242">
        <v>3</v>
      </c>
      <c r="J1242" t="s">
        <v>48</v>
      </c>
      <c r="K1242" t="s">
        <v>45</v>
      </c>
      <c r="L1242" t="s">
        <v>45</v>
      </c>
      <c r="M1242" t="s">
        <v>67</v>
      </c>
      <c r="N1242" s="15">
        <v>78.260000000000005</v>
      </c>
      <c r="O1242" s="16">
        <v>-17.7</v>
      </c>
      <c r="P1242">
        <v>0</v>
      </c>
    </row>
    <row r="1243" spans="1:16" x14ac:dyDescent="0.3">
      <c r="A1243" t="s">
        <v>65</v>
      </c>
      <c r="B1243" t="s">
        <v>17</v>
      </c>
      <c r="C1243" t="s">
        <v>17</v>
      </c>
      <c r="D1243" t="s">
        <v>12</v>
      </c>
      <c r="E1243" t="s">
        <v>80</v>
      </c>
      <c r="F1243" t="s">
        <v>13</v>
      </c>
      <c r="G1243" s="15">
        <v>171.03</v>
      </c>
      <c r="H1243" t="s">
        <v>27</v>
      </c>
      <c r="I1243">
        <v>3</v>
      </c>
      <c r="J1243" t="s">
        <v>47</v>
      </c>
      <c r="K1243" t="s">
        <v>45</v>
      </c>
      <c r="L1243" t="s">
        <v>45</v>
      </c>
      <c r="M1243" t="s">
        <v>72</v>
      </c>
      <c r="N1243" s="15">
        <v>176.57</v>
      </c>
      <c r="O1243" s="16">
        <v>-3.1</v>
      </c>
      <c r="P1243">
        <v>0</v>
      </c>
    </row>
    <row r="1244" spans="1:16" x14ac:dyDescent="0.3">
      <c r="A1244" t="s">
        <v>57</v>
      </c>
      <c r="B1244" t="s">
        <v>21</v>
      </c>
      <c r="C1244" t="s">
        <v>62</v>
      </c>
      <c r="D1244" t="s">
        <v>10</v>
      </c>
      <c r="E1244" t="s">
        <v>69</v>
      </c>
      <c r="F1244" t="s">
        <v>9</v>
      </c>
      <c r="G1244" s="15">
        <v>128.97</v>
      </c>
      <c r="H1244" t="s">
        <v>26</v>
      </c>
      <c r="I1244">
        <v>2</v>
      </c>
      <c r="J1244" t="s">
        <v>48</v>
      </c>
      <c r="K1244" t="s">
        <v>46</v>
      </c>
      <c r="L1244" t="s">
        <v>45</v>
      </c>
      <c r="M1244" t="s">
        <v>61</v>
      </c>
      <c r="N1244" s="15">
        <v>150.38999999999999</v>
      </c>
      <c r="O1244" s="16">
        <v>-14.2</v>
      </c>
      <c r="P1244">
        <v>0</v>
      </c>
    </row>
    <row r="1245" spans="1:16" x14ac:dyDescent="0.3">
      <c r="A1245" t="s">
        <v>57</v>
      </c>
      <c r="B1245" t="s">
        <v>17</v>
      </c>
      <c r="C1245" t="s">
        <v>17</v>
      </c>
      <c r="D1245" t="s">
        <v>11</v>
      </c>
      <c r="E1245" t="s">
        <v>70</v>
      </c>
      <c r="F1245" t="s">
        <v>9</v>
      </c>
      <c r="G1245" s="15">
        <v>30.5</v>
      </c>
      <c r="H1245" t="s">
        <v>26</v>
      </c>
      <c r="I1245">
        <v>2</v>
      </c>
      <c r="J1245" t="s">
        <v>48</v>
      </c>
      <c r="K1245" t="s">
        <v>46</v>
      </c>
      <c r="L1245" t="s">
        <v>45</v>
      </c>
      <c r="M1245" t="s">
        <v>78</v>
      </c>
      <c r="N1245" s="15">
        <v>30.5</v>
      </c>
      <c r="O1245" s="16">
        <v>0</v>
      </c>
      <c r="P1245">
        <v>0</v>
      </c>
    </row>
    <row r="1246" spans="1:16" x14ac:dyDescent="0.3">
      <c r="A1246" t="s">
        <v>57</v>
      </c>
      <c r="B1246" t="s">
        <v>20</v>
      </c>
      <c r="C1246" t="s">
        <v>20</v>
      </c>
      <c r="D1246" t="s">
        <v>8</v>
      </c>
      <c r="E1246" t="s">
        <v>74</v>
      </c>
      <c r="F1246" t="s">
        <v>9</v>
      </c>
      <c r="G1246" s="15">
        <v>80.760000000000005</v>
      </c>
      <c r="H1246" t="s">
        <v>26</v>
      </c>
      <c r="I1246">
        <v>2</v>
      </c>
      <c r="J1246" t="s">
        <v>48</v>
      </c>
      <c r="K1246" t="s">
        <v>46</v>
      </c>
      <c r="L1246" t="s">
        <v>46</v>
      </c>
      <c r="M1246" t="s">
        <v>78</v>
      </c>
      <c r="N1246" s="15">
        <v>83.41</v>
      </c>
      <c r="O1246" s="16">
        <v>-3.2</v>
      </c>
      <c r="P1246">
        <v>0</v>
      </c>
    </row>
    <row r="1247" spans="1:16" x14ac:dyDescent="0.3">
      <c r="A1247" t="s">
        <v>57</v>
      </c>
      <c r="B1247" t="s">
        <v>22</v>
      </c>
      <c r="C1247" t="s">
        <v>22</v>
      </c>
      <c r="D1247" t="s">
        <v>11</v>
      </c>
      <c r="E1247" t="s">
        <v>79</v>
      </c>
      <c r="F1247" t="s">
        <v>9</v>
      </c>
      <c r="G1247" s="15">
        <v>24.67</v>
      </c>
      <c r="H1247" t="s">
        <v>27</v>
      </c>
      <c r="I1247">
        <v>3</v>
      </c>
      <c r="J1247" t="s">
        <v>48</v>
      </c>
      <c r="K1247" t="s">
        <v>45</v>
      </c>
      <c r="L1247" t="s">
        <v>45</v>
      </c>
      <c r="M1247" t="s">
        <v>59</v>
      </c>
      <c r="N1247" s="15">
        <v>30.93</v>
      </c>
      <c r="O1247" s="16">
        <v>-20.2</v>
      </c>
      <c r="P1247">
        <v>0</v>
      </c>
    </row>
    <row r="1248" spans="1:16" x14ac:dyDescent="0.3">
      <c r="A1248" t="s">
        <v>65</v>
      </c>
      <c r="B1248" t="s">
        <v>19</v>
      </c>
      <c r="C1248" t="s">
        <v>19</v>
      </c>
      <c r="D1248" t="s">
        <v>15</v>
      </c>
      <c r="E1248" t="s">
        <v>75</v>
      </c>
      <c r="F1248" t="s">
        <v>9</v>
      </c>
      <c r="G1248" s="15">
        <v>108.99</v>
      </c>
      <c r="H1248" t="s">
        <v>26</v>
      </c>
      <c r="I1248">
        <v>2</v>
      </c>
      <c r="J1248" t="s">
        <v>48</v>
      </c>
      <c r="K1248" t="s">
        <v>46</v>
      </c>
      <c r="L1248" t="s">
        <v>46</v>
      </c>
      <c r="M1248" t="s">
        <v>61</v>
      </c>
      <c r="N1248" s="15">
        <v>126.9</v>
      </c>
      <c r="O1248" s="16">
        <v>-14.1</v>
      </c>
      <c r="P1248">
        <v>0</v>
      </c>
    </row>
    <row r="1249" spans="1:16" x14ac:dyDescent="0.3">
      <c r="A1249" t="s">
        <v>57</v>
      </c>
      <c r="B1249" t="s">
        <v>19</v>
      </c>
      <c r="C1249" t="s">
        <v>19</v>
      </c>
      <c r="D1249" t="s">
        <v>14</v>
      </c>
      <c r="E1249" t="s">
        <v>63</v>
      </c>
      <c r="F1249" t="s">
        <v>9</v>
      </c>
      <c r="G1249" s="15">
        <v>68.34</v>
      </c>
      <c r="H1249" t="s">
        <v>26</v>
      </c>
      <c r="I1249">
        <v>2</v>
      </c>
      <c r="J1249" t="s">
        <v>47</v>
      </c>
      <c r="K1249" t="s">
        <v>46</v>
      </c>
      <c r="L1249" t="s">
        <v>45</v>
      </c>
      <c r="M1249" t="s">
        <v>59</v>
      </c>
      <c r="N1249" s="15">
        <v>65.16</v>
      </c>
      <c r="O1249" s="16">
        <v>4.9000000000000004</v>
      </c>
      <c r="P1249">
        <v>0</v>
      </c>
    </row>
    <row r="1250" spans="1:16" x14ac:dyDescent="0.3">
      <c r="A1250" t="s">
        <v>60</v>
      </c>
      <c r="B1250" t="s">
        <v>20</v>
      </c>
      <c r="C1250" t="s">
        <v>20</v>
      </c>
      <c r="D1250" t="s">
        <v>11</v>
      </c>
      <c r="E1250" t="s">
        <v>79</v>
      </c>
      <c r="F1250" t="s">
        <v>9</v>
      </c>
      <c r="G1250" s="15">
        <v>40</v>
      </c>
      <c r="H1250" t="s">
        <v>27</v>
      </c>
      <c r="I1250">
        <v>3</v>
      </c>
      <c r="J1250" t="s">
        <v>48</v>
      </c>
      <c r="K1250" t="s">
        <v>45</v>
      </c>
      <c r="L1250" t="s">
        <v>45</v>
      </c>
      <c r="M1250" t="s">
        <v>64</v>
      </c>
      <c r="N1250" s="15">
        <v>29.14</v>
      </c>
      <c r="O1250" s="16">
        <v>37.200000000000003</v>
      </c>
      <c r="P1250">
        <v>1</v>
      </c>
    </row>
    <row r="1251" spans="1:16" x14ac:dyDescent="0.3">
      <c r="A1251" t="s">
        <v>65</v>
      </c>
      <c r="B1251" t="s">
        <v>17</v>
      </c>
      <c r="C1251" t="s">
        <v>17</v>
      </c>
      <c r="D1251" t="s">
        <v>10</v>
      </c>
      <c r="E1251" t="s">
        <v>69</v>
      </c>
      <c r="F1251" t="s">
        <v>9</v>
      </c>
      <c r="G1251" s="15">
        <v>152.41999999999999</v>
      </c>
      <c r="H1251" t="s">
        <v>26</v>
      </c>
      <c r="I1251">
        <v>2</v>
      </c>
      <c r="J1251" t="s">
        <v>48</v>
      </c>
      <c r="K1251" t="s">
        <v>45</v>
      </c>
      <c r="L1251" t="s">
        <v>45</v>
      </c>
      <c r="M1251" t="s">
        <v>59</v>
      </c>
      <c r="N1251" s="15">
        <v>158.91999999999999</v>
      </c>
      <c r="O1251" s="16">
        <v>-4.0999999999999996</v>
      </c>
      <c r="P1251">
        <v>0</v>
      </c>
    </row>
    <row r="1252" spans="1:16" x14ac:dyDescent="0.3">
      <c r="A1252" t="s">
        <v>65</v>
      </c>
      <c r="B1252" t="s">
        <v>19</v>
      </c>
      <c r="C1252" t="s">
        <v>19</v>
      </c>
      <c r="D1252" t="s">
        <v>12</v>
      </c>
      <c r="E1252" t="s">
        <v>66</v>
      </c>
      <c r="F1252" t="s">
        <v>13</v>
      </c>
      <c r="G1252" s="15">
        <v>179.5</v>
      </c>
      <c r="H1252" t="s">
        <v>27</v>
      </c>
      <c r="I1252">
        <v>3</v>
      </c>
      <c r="J1252" t="s">
        <v>47</v>
      </c>
      <c r="K1252" t="s">
        <v>46</v>
      </c>
      <c r="L1252" t="s">
        <v>45</v>
      </c>
      <c r="M1252" t="s">
        <v>61</v>
      </c>
      <c r="N1252" s="15">
        <v>178.49</v>
      </c>
      <c r="O1252" s="16">
        <v>0.6</v>
      </c>
      <c r="P1252">
        <v>0</v>
      </c>
    </row>
    <row r="1253" spans="1:16" x14ac:dyDescent="0.3">
      <c r="A1253" t="s">
        <v>57</v>
      </c>
      <c r="B1253" t="s">
        <v>19</v>
      </c>
      <c r="C1253" t="s">
        <v>19</v>
      </c>
      <c r="D1253" t="s">
        <v>15</v>
      </c>
      <c r="E1253" t="s">
        <v>75</v>
      </c>
      <c r="F1253" t="s">
        <v>9</v>
      </c>
      <c r="G1253" s="15">
        <v>115.78</v>
      </c>
      <c r="H1253" t="s">
        <v>26</v>
      </c>
      <c r="I1253">
        <v>2</v>
      </c>
      <c r="J1253" t="s">
        <v>47</v>
      </c>
      <c r="K1253" t="s">
        <v>46</v>
      </c>
      <c r="L1253" t="s">
        <v>45</v>
      </c>
      <c r="M1253" t="s">
        <v>59</v>
      </c>
      <c r="N1253" s="15">
        <v>120.06</v>
      </c>
      <c r="O1253" s="16">
        <v>-3.6</v>
      </c>
      <c r="P1253">
        <v>0</v>
      </c>
    </row>
    <row r="1254" spans="1:16" x14ac:dyDescent="0.3">
      <c r="A1254" t="s">
        <v>65</v>
      </c>
      <c r="B1254" t="s">
        <v>19</v>
      </c>
      <c r="C1254" t="s">
        <v>19</v>
      </c>
      <c r="D1254" t="s">
        <v>10</v>
      </c>
      <c r="E1254" t="s">
        <v>58</v>
      </c>
      <c r="F1254" t="s">
        <v>9</v>
      </c>
      <c r="G1254" s="15">
        <v>161.11000000000001</v>
      </c>
      <c r="H1254" t="s">
        <v>27</v>
      </c>
      <c r="I1254">
        <v>3</v>
      </c>
      <c r="J1254" t="s">
        <v>47</v>
      </c>
      <c r="K1254" t="s">
        <v>45</v>
      </c>
      <c r="L1254" t="s">
        <v>45</v>
      </c>
      <c r="M1254" t="s">
        <v>72</v>
      </c>
      <c r="N1254" s="15">
        <v>166.29</v>
      </c>
      <c r="O1254" s="16">
        <v>-3.1</v>
      </c>
      <c r="P1254">
        <v>0</v>
      </c>
    </row>
    <row r="1255" spans="1:16" x14ac:dyDescent="0.3">
      <c r="A1255" t="s">
        <v>65</v>
      </c>
      <c r="B1255" t="s">
        <v>19</v>
      </c>
      <c r="C1255" t="s">
        <v>19</v>
      </c>
      <c r="D1255" t="s">
        <v>12</v>
      </c>
      <c r="E1255" t="s">
        <v>80</v>
      </c>
      <c r="F1255" t="s">
        <v>13</v>
      </c>
      <c r="G1255" s="15">
        <v>184.44</v>
      </c>
      <c r="H1255" t="s">
        <v>25</v>
      </c>
      <c r="I1255">
        <v>1</v>
      </c>
      <c r="J1255" t="s">
        <v>48</v>
      </c>
      <c r="K1255" t="s">
        <v>46</v>
      </c>
      <c r="L1255" t="s">
        <v>45</v>
      </c>
      <c r="M1255" t="s">
        <v>61</v>
      </c>
      <c r="N1255" s="15">
        <v>176.57</v>
      </c>
      <c r="O1255" s="16">
        <v>4.5</v>
      </c>
      <c r="P1255">
        <v>0</v>
      </c>
    </row>
    <row r="1256" spans="1:16" x14ac:dyDescent="0.3">
      <c r="A1256" t="s">
        <v>65</v>
      </c>
      <c r="B1256" t="s">
        <v>19</v>
      </c>
      <c r="C1256" t="s">
        <v>19</v>
      </c>
      <c r="D1256" t="s">
        <v>8</v>
      </c>
      <c r="E1256" t="s">
        <v>74</v>
      </c>
      <c r="F1256" t="s">
        <v>9</v>
      </c>
      <c r="G1256" s="15">
        <v>84.02</v>
      </c>
      <c r="H1256" t="s">
        <v>26</v>
      </c>
      <c r="I1256">
        <v>2</v>
      </c>
      <c r="J1256" t="s">
        <v>48</v>
      </c>
      <c r="K1256" t="s">
        <v>46</v>
      </c>
      <c r="L1256" t="s">
        <v>45</v>
      </c>
      <c r="M1256" t="s">
        <v>78</v>
      </c>
      <c r="N1256" s="15">
        <v>91.13</v>
      </c>
      <c r="O1256" s="16">
        <v>-7.8</v>
      </c>
      <c r="P1256">
        <v>0</v>
      </c>
    </row>
    <row r="1257" spans="1:16" x14ac:dyDescent="0.3">
      <c r="A1257" t="s">
        <v>57</v>
      </c>
      <c r="B1257" t="s">
        <v>19</v>
      </c>
      <c r="C1257" t="s">
        <v>19</v>
      </c>
      <c r="D1257" t="s">
        <v>14</v>
      </c>
      <c r="E1257" t="s">
        <v>63</v>
      </c>
      <c r="F1257" t="s">
        <v>9</v>
      </c>
      <c r="G1257" s="15">
        <v>71.510000000000005</v>
      </c>
      <c r="H1257" t="s">
        <v>25</v>
      </c>
      <c r="I1257">
        <v>1</v>
      </c>
      <c r="J1257" t="s">
        <v>48</v>
      </c>
      <c r="K1257" t="s">
        <v>46</v>
      </c>
      <c r="L1257" t="s">
        <v>46</v>
      </c>
      <c r="M1257" t="s">
        <v>67</v>
      </c>
      <c r="N1257" s="15">
        <v>65.16</v>
      </c>
      <c r="O1257" s="16">
        <v>9.6999999999999993</v>
      </c>
      <c r="P1257">
        <v>0</v>
      </c>
    </row>
    <row r="1258" spans="1:16" x14ac:dyDescent="0.3">
      <c r="A1258" t="s">
        <v>65</v>
      </c>
      <c r="B1258" t="s">
        <v>19</v>
      </c>
      <c r="C1258" t="s">
        <v>19</v>
      </c>
      <c r="D1258" t="s">
        <v>15</v>
      </c>
      <c r="E1258" t="s">
        <v>76</v>
      </c>
      <c r="F1258" t="s">
        <v>9</v>
      </c>
      <c r="G1258" s="15">
        <v>128.53</v>
      </c>
      <c r="H1258" t="s">
        <v>26</v>
      </c>
      <c r="I1258">
        <v>2</v>
      </c>
      <c r="J1258" t="s">
        <v>48</v>
      </c>
      <c r="K1258" t="s">
        <v>45</v>
      </c>
      <c r="L1258" t="s">
        <v>45</v>
      </c>
      <c r="M1258" t="s">
        <v>64</v>
      </c>
      <c r="N1258" s="15">
        <v>126.51</v>
      </c>
      <c r="O1258" s="16">
        <v>1.6</v>
      </c>
      <c r="P1258">
        <v>0</v>
      </c>
    </row>
    <row r="1259" spans="1:16" x14ac:dyDescent="0.3">
      <c r="A1259" t="s">
        <v>65</v>
      </c>
      <c r="B1259" t="s">
        <v>19</v>
      </c>
      <c r="C1259" t="s">
        <v>19</v>
      </c>
      <c r="D1259" t="s">
        <v>14</v>
      </c>
      <c r="E1259" t="s">
        <v>71</v>
      </c>
      <c r="F1259" t="s">
        <v>9</v>
      </c>
      <c r="G1259" s="15">
        <v>80</v>
      </c>
      <c r="H1259" t="s">
        <v>26</v>
      </c>
      <c r="I1259">
        <v>2</v>
      </c>
      <c r="J1259" t="s">
        <v>44</v>
      </c>
      <c r="K1259" t="s">
        <v>45</v>
      </c>
      <c r="L1259" t="s">
        <v>45</v>
      </c>
      <c r="M1259" t="s">
        <v>68</v>
      </c>
      <c r="N1259" s="15">
        <v>71.77</v>
      </c>
      <c r="O1259" s="16">
        <v>11.5</v>
      </c>
      <c r="P1259">
        <v>0</v>
      </c>
    </row>
    <row r="1260" spans="1:16" x14ac:dyDescent="0.3">
      <c r="A1260" t="s">
        <v>57</v>
      </c>
      <c r="B1260" t="s">
        <v>22</v>
      </c>
      <c r="C1260" t="s">
        <v>22</v>
      </c>
      <c r="D1260" t="s">
        <v>12</v>
      </c>
      <c r="E1260" t="s">
        <v>80</v>
      </c>
      <c r="F1260" t="s">
        <v>13</v>
      </c>
      <c r="G1260" s="15">
        <v>163.74</v>
      </c>
      <c r="H1260" t="s">
        <v>26</v>
      </c>
      <c r="I1260">
        <v>2</v>
      </c>
      <c r="J1260" t="s">
        <v>48</v>
      </c>
      <c r="K1260" t="s">
        <v>45</v>
      </c>
      <c r="L1260" t="s">
        <v>45</v>
      </c>
      <c r="M1260" t="s">
        <v>64</v>
      </c>
      <c r="N1260" s="15">
        <v>162.72999999999999</v>
      </c>
      <c r="O1260" s="16">
        <v>0.6</v>
      </c>
      <c r="P1260">
        <v>0</v>
      </c>
    </row>
    <row r="1261" spans="1:16" x14ac:dyDescent="0.3">
      <c r="A1261" t="s">
        <v>57</v>
      </c>
      <c r="B1261" t="s">
        <v>22</v>
      </c>
      <c r="C1261" t="s">
        <v>22</v>
      </c>
      <c r="D1261" t="s">
        <v>11</v>
      </c>
      <c r="E1261" t="s">
        <v>70</v>
      </c>
      <c r="F1261" t="s">
        <v>9</v>
      </c>
      <c r="G1261" s="15">
        <v>35</v>
      </c>
      <c r="H1261" t="s">
        <v>25</v>
      </c>
      <c r="I1261">
        <v>1</v>
      </c>
      <c r="J1261" t="s">
        <v>48</v>
      </c>
      <c r="K1261" t="s">
        <v>45</v>
      </c>
      <c r="L1261" t="s">
        <v>46</v>
      </c>
      <c r="M1261" t="s">
        <v>67</v>
      </c>
      <c r="N1261" s="15">
        <v>30.5</v>
      </c>
      <c r="O1261" s="16">
        <v>14.8</v>
      </c>
      <c r="P1261">
        <v>0</v>
      </c>
    </row>
    <row r="1262" spans="1:16" x14ac:dyDescent="0.3">
      <c r="A1262" t="s">
        <v>65</v>
      </c>
      <c r="B1262" t="s">
        <v>18</v>
      </c>
      <c r="C1262" t="s">
        <v>18</v>
      </c>
      <c r="D1262" t="s">
        <v>11</v>
      </c>
      <c r="E1262" t="s">
        <v>79</v>
      </c>
      <c r="F1262" t="s">
        <v>9</v>
      </c>
      <c r="G1262" s="15">
        <v>34</v>
      </c>
      <c r="H1262" t="s">
        <v>26</v>
      </c>
      <c r="I1262">
        <v>2</v>
      </c>
      <c r="J1262" t="s">
        <v>47</v>
      </c>
      <c r="K1262" t="s">
        <v>45</v>
      </c>
      <c r="L1262" t="s">
        <v>46</v>
      </c>
      <c r="M1262" t="s">
        <v>67</v>
      </c>
      <c r="N1262" s="15">
        <v>33.39</v>
      </c>
      <c r="O1262" s="16">
        <v>1.8</v>
      </c>
      <c r="P1262">
        <v>0</v>
      </c>
    </row>
    <row r="1263" spans="1:16" x14ac:dyDescent="0.3">
      <c r="A1263" t="s">
        <v>57</v>
      </c>
      <c r="B1263" t="s">
        <v>20</v>
      </c>
      <c r="C1263" t="s">
        <v>20</v>
      </c>
      <c r="D1263" t="s">
        <v>14</v>
      </c>
      <c r="E1263" t="s">
        <v>63</v>
      </c>
      <c r="F1263" t="s">
        <v>9</v>
      </c>
      <c r="G1263" s="15">
        <v>57.66</v>
      </c>
      <c r="H1263" t="s">
        <v>26</v>
      </c>
      <c r="I1263">
        <v>2</v>
      </c>
      <c r="J1263" t="s">
        <v>48</v>
      </c>
      <c r="K1263" t="s">
        <v>46</v>
      </c>
      <c r="L1263" t="s">
        <v>45</v>
      </c>
      <c r="M1263" t="s">
        <v>64</v>
      </c>
      <c r="N1263" s="15">
        <v>65.16</v>
      </c>
      <c r="O1263" s="16">
        <v>-11.5</v>
      </c>
      <c r="P1263">
        <v>0</v>
      </c>
    </row>
    <row r="1264" spans="1:16" x14ac:dyDescent="0.3">
      <c r="A1264" t="s">
        <v>57</v>
      </c>
      <c r="B1264" t="s">
        <v>21</v>
      </c>
      <c r="C1264" t="s">
        <v>62</v>
      </c>
      <c r="D1264" t="s">
        <v>12</v>
      </c>
      <c r="E1264" t="s">
        <v>80</v>
      </c>
      <c r="F1264" t="s">
        <v>13</v>
      </c>
      <c r="G1264" s="15">
        <v>145.86000000000001</v>
      </c>
      <c r="H1264" t="s">
        <v>27</v>
      </c>
      <c r="I1264">
        <v>3</v>
      </c>
      <c r="J1264" t="s">
        <v>48</v>
      </c>
      <c r="K1264" t="s">
        <v>46</v>
      </c>
      <c r="L1264" t="s">
        <v>46</v>
      </c>
      <c r="M1264" t="s">
        <v>64</v>
      </c>
      <c r="N1264" s="15">
        <v>162.72999999999999</v>
      </c>
      <c r="O1264" s="16">
        <v>-10.4</v>
      </c>
      <c r="P1264">
        <v>0</v>
      </c>
    </row>
    <row r="1265" spans="1:16" x14ac:dyDescent="0.3">
      <c r="A1265" t="s">
        <v>57</v>
      </c>
      <c r="B1265" t="s">
        <v>22</v>
      </c>
      <c r="C1265" t="s">
        <v>22</v>
      </c>
      <c r="D1265" t="s">
        <v>14</v>
      </c>
      <c r="E1265" t="s">
        <v>63</v>
      </c>
      <c r="F1265" t="s">
        <v>9</v>
      </c>
      <c r="G1265" s="15">
        <v>72.81</v>
      </c>
      <c r="H1265" t="s">
        <v>26</v>
      </c>
      <c r="I1265">
        <v>2</v>
      </c>
      <c r="J1265" t="s">
        <v>48</v>
      </c>
      <c r="K1265" t="s">
        <v>45</v>
      </c>
      <c r="L1265" t="s">
        <v>45</v>
      </c>
      <c r="M1265" t="s">
        <v>72</v>
      </c>
      <c r="N1265" s="15">
        <v>65.16</v>
      </c>
      <c r="O1265" s="16">
        <v>11.7</v>
      </c>
      <c r="P1265">
        <v>0</v>
      </c>
    </row>
    <row r="1266" spans="1:16" x14ac:dyDescent="0.3">
      <c r="A1266" t="s">
        <v>57</v>
      </c>
      <c r="B1266" t="s">
        <v>20</v>
      </c>
      <c r="C1266" t="s">
        <v>20</v>
      </c>
      <c r="D1266" t="s">
        <v>12</v>
      </c>
      <c r="E1266" t="s">
        <v>66</v>
      </c>
      <c r="F1266" t="s">
        <v>13</v>
      </c>
      <c r="G1266" s="15">
        <v>187.79</v>
      </c>
      <c r="H1266" t="s">
        <v>27</v>
      </c>
      <c r="I1266">
        <v>3</v>
      </c>
      <c r="J1266" t="s">
        <v>47</v>
      </c>
      <c r="K1266" t="s">
        <v>45</v>
      </c>
      <c r="L1266" t="s">
        <v>45</v>
      </c>
      <c r="M1266" t="s">
        <v>68</v>
      </c>
      <c r="N1266" s="15">
        <v>170.56</v>
      </c>
      <c r="O1266" s="16">
        <v>10.1</v>
      </c>
      <c r="P1266">
        <v>0</v>
      </c>
    </row>
    <row r="1267" spans="1:16" x14ac:dyDescent="0.3">
      <c r="A1267" t="s">
        <v>57</v>
      </c>
      <c r="B1267" t="s">
        <v>21</v>
      </c>
      <c r="C1267" t="s">
        <v>62</v>
      </c>
      <c r="D1267" t="s">
        <v>15</v>
      </c>
      <c r="E1267" t="s">
        <v>76</v>
      </c>
      <c r="F1267" t="s">
        <v>9</v>
      </c>
      <c r="G1267" s="15">
        <v>124</v>
      </c>
      <c r="H1267" t="s">
        <v>27</v>
      </c>
      <c r="I1267">
        <v>3</v>
      </c>
      <c r="J1267" t="s">
        <v>48</v>
      </c>
      <c r="K1267" t="s">
        <v>45</v>
      </c>
      <c r="L1267" t="s">
        <v>46</v>
      </c>
      <c r="M1267" t="s">
        <v>61</v>
      </c>
      <c r="N1267" s="15">
        <v>118.59</v>
      </c>
      <c r="O1267" s="16">
        <v>4.5999999999999996</v>
      </c>
      <c r="P1267">
        <v>0</v>
      </c>
    </row>
    <row r="1268" spans="1:16" x14ac:dyDescent="0.3">
      <c r="A1268" t="s">
        <v>57</v>
      </c>
      <c r="B1268" t="s">
        <v>19</v>
      </c>
      <c r="C1268" t="s">
        <v>19</v>
      </c>
      <c r="D1268" t="s">
        <v>8</v>
      </c>
      <c r="E1268" t="s">
        <v>74</v>
      </c>
      <c r="F1268" t="s">
        <v>9</v>
      </c>
      <c r="G1268" s="15">
        <v>76.209999999999994</v>
      </c>
      <c r="H1268" t="s">
        <v>25</v>
      </c>
      <c r="I1268">
        <v>1</v>
      </c>
      <c r="J1268" t="s">
        <v>48</v>
      </c>
      <c r="K1268" t="s">
        <v>45</v>
      </c>
      <c r="L1268" t="s">
        <v>45</v>
      </c>
      <c r="M1268" t="s">
        <v>64</v>
      </c>
      <c r="N1268" s="15">
        <v>83.41</v>
      </c>
      <c r="O1268" s="16">
        <v>-8.6</v>
      </c>
      <c r="P1268">
        <v>0</v>
      </c>
    </row>
    <row r="1269" spans="1:16" x14ac:dyDescent="0.3">
      <c r="A1269" t="s">
        <v>65</v>
      </c>
      <c r="B1269" t="s">
        <v>19</v>
      </c>
      <c r="C1269" t="s">
        <v>19</v>
      </c>
      <c r="D1269" t="s">
        <v>8</v>
      </c>
      <c r="E1269" t="s">
        <v>74</v>
      </c>
      <c r="F1269" t="s">
        <v>9</v>
      </c>
      <c r="G1269" s="15">
        <v>107.94</v>
      </c>
      <c r="H1269" t="s">
        <v>27</v>
      </c>
      <c r="I1269">
        <v>3</v>
      </c>
      <c r="J1269" t="s">
        <v>47</v>
      </c>
      <c r="K1269" t="s">
        <v>45</v>
      </c>
      <c r="L1269" t="s">
        <v>45</v>
      </c>
      <c r="M1269" t="s">
        <v>67</v>
      </c>
      <c r="N1269" s="15">
        <v>91.13</v>
      </c>
      <c r="O1269" s="16">
        <v>18.399999999999999</v>
      </c>
      <c r="P1269">
        <v>1</v>
      </c>
    </row>
    <row r="1270" spans="1:16" x14ac:dyDescent="0.3">
      <c r="A1270" t="s">
        <v>65</v>
      </c>
      <c r="B1270" t="s">
        <v>19</v>
      </c>
      <c r="C1270" t="s">
        <v>19</v>
      </c>
      <c r="D1270" t="s">
        <v>8</v>
      </c>
      <c r="E1270" t="s">
        <v>73</v>
      </c>
      <c r="F1270" t="s">
        <v>9</v>
      </c>
      <c r="G1270" s="15">
        <v>85.28</v>
      </c>
      <c r="H1270" t="s">
        <v>26</v>
      </c>
      <c r="I1270">
        <v>2</v>
      </c>
      <c r="J1270" t="s">
        <v>47</v>
      </c>
      <c r="K1270" t="s">
        <v>45</v>
      </c>
      <c r="L1270" t="s">
        <v>46</v>
      </c>
      <c r="M1270" t="s">
        <v>68</v>
      </c>
      <c r="N1270" s="15">
        <v>88.05</v>
      </c>
      <c r="O1270" s="16">
        <v>-3.1</v>
      </c>
      <c r="P1270">
        <v>0</v>
      </c>
    </row>
    <row r="1271" spans="1:16" x14ac:dyDescent="0.3">
      <c r="A1271" t="s">
        <v>65</v>
      </c>
      <c r="B1271" t="s">
        <v>18</v>
      </c>
      <c r="C1271" t="s">
        <v>18</v>
      </c>
      <c r="D1271" t="s">
        <v>8</v>
      </c>
      <c r="E1271" t="s">
        <v>74</v>
      </c>
      <c r="F1271" t="s">
        <v>9</v>
      </c>
      <c r="G1271" s="15">
        <v>96.9</v>
      </c>
      <c r="H1271" t="s">
        <v>26</v>
      </c>
      <c r="I1271">
        <v>2</v>
      </c>
      <c r="J1271" t="s">
        <v>47</v>
      </c>
      <c r="K1271" t="s">
        <v>45</v>
      </c>
      <c r="L1271" t="s">
        <v>45</v>
      </c>
      <c r="M1271" t="s">
        <v>59</v>
      </c>
      <c r="N1271" s="15">
        <v>91.13</v>
      </c>
      <c r="O1271" s="16">
        <v>6.3</v>
      </c>
      <c r="P1271">
        <v>0</v>
      </c>
    </row>
    <row r="1272" spans="1:16" x14ac:dyDescent="0.3">
      <c r="A1272" t="s">
        <v>57</v>
      </c>
      <c r="B1272" t="s">
        <v>21</v>
      </c>
      <c r="C1272" t="s">
        <v>62</v>
      </c>
      <c r="D1272" t="s">
        <v>8</v>
      </c>
      <c r="E1272" t="s">
        <v>73</v>
      </c>
      <c r="F1272" t="s">
        <v>9</v>
      </c>
      <c r="G1272" s="15">
        <v>79.27</v>
      </c>
      <c r="H1272" t="s">
        <v>27</v>
      </c>
      <c r="I1272">
        <v>3</v>
      </c>
      <c r="J1272" t="s">
        <v>47</v>
      </c>
      <c r="K1272" t="s">
        <v>46</v>
      </c>
      <c r="L1272" t="s">
        <v>46</v>
      </c>
      <c r="M1272" t="s">
        <v>68</v>
      </c>
      <c r="N1272" s="15">
        <v>86.06</v>
      </c>
      <c r="O1272" s="16">
        <v>-7.9</v>
      </c>
      <c r="P1272">
        <v>0</v>
      </c>
    </row>
    <row r="1273" spans="1:16" x14ac:dyDescent="0.3">
      <c r="A1273" t="s">
        <v>60</v>
      </c>
      <c r="B1273" t="s">
        <v>19</v>
      </c>
      <c r="C1273" t="s">
        <v>19</v>
      </c>
      <c r="D1273" t="s">
        <v>15</v>
      </c>
      <c r="E1273" t="s">
        <v>76</v>
      </c>
      <c r="F1273" t="s">
        <v>9</v>
      </c>
      <c r="G1273" s="15">
        <v>113.88</v>
      </c>
      <c r="H1273" t="s">
        <v>27</v>
      </c>
      <c r="I1273">
        <v>3</v>
      </c>
      <c r="J1273" t="s">
        <v>47</v>
      </c>
      <c r="K1273" t="s">
        <v>45</v>
      </c>
      <c r="L1273" t="s">
        <v>45</v>
      </c>
      <c r="M1273" t="s">
        <v>78</v>
      </c>
      <c r="N1273" s="15">
        <v>116.32</v>
      </c>
      <c r="O1273" s="16">
        <v>-2.1</v>
      </c>
      <c r="P1273">
        <v>0</v>
      </c>
    </row>
    <row r="1274" spans="1:16" x14ac:dyDescent="0.3">
      <c r="A1274" t="s">
        <v>57</v>
      </c>
      <c r="B1274" t="s">
        <v>19</v>
      </c>
      <c r="C1274" t="s">
        <v>19</v>
      </c>
      <c r="D1274" t="s">
        <v>14</v>
      </c>
      <c r="E1274" t="s">
        <v>63</v>
      </c>
      <c r="F1274" t="s">
        <v>9</v>
      </c>
      <c r="G1274" s="15">
        <v>60.47</v>
      </c>
      <c r="H1274" t="s">
        <v>27</v>
      </c>
      <c r="I1274">
        <v>3</v>
      </c>
      <c r="J1274" t="s">
        <v>48</v>
      </c>
      <c r="K1274" t="s">
        <v>46</v>
      </c>
      <c r="L1274" t="s">
        <v>46</v>
      </c>
      <c r="M1274" t="s">
        <v>59</v>
      </c>
      <c r="N1274" s="15">
        <v>65.16</v>
      </c>
      <c r="O1274" s="16">
        <v>-7.2</v>
      </c>
      <c r="P1274">
        <v>0</v>
      </c>
    </row>
    <row r="1275" spans="1:16" x14ac:dyDescent="0.3">
      <c r="A1275" t="s">
        <v>57</v>
      </c>
      <c r="B1275" t="s">
        <v>19</v>
      </c>
      <c r="C1275" t="s">
        <v>19</v>
      </c>
      <c r="D1275" t="s">
        <v>12</v>
      </c>
      <c r="E1275" t="s">
        <v>80</v>
      </c>
      <c r="F1275" t="s">
        <v>13</v>
      </c>
      <c r="G1275" s="15">
        <v>156.29</v>
      </c>
      <c r="H1275" t="s">
        <v>27</v>
      </c>
      <c r="I1275">
        <v>3</v>
      </c>
      <c r="J1275" t="s">
        <v>48</v>
      </c>
      <c r="K1275" t="s">
        <v>45</v>
      </c>
      <c r="L1275" t="s">
        <v>45</v>
      </c>
      <c r="M1275" t="s">
        <v>59</v>
      </c>
      <c r="N1275" s="15">
        <v>162.72999999999999</v>
      </c>
      <c r="O1275" s="16">
        <v>-4</v>
      </c>
      <c r="P1275">
        <v>0</v>
      </c>
    </row>
    <row r="1276" spans="1:16" x14ac:dyDescent="0.3">
      <c r="A1276" t="s">
        <v>65</v>
      </c>
      <c r="B1276" t="s">
        <v>20</v>
      </c>
      <c r="C1276" t="s">
        <v>20</v>
      </c>
      <c r="D1276" t="s">
        <v>8</v>
      </c>
      <c r="E1276" t="s">
        <v>73</v>
      </c>
      <c r="F1276" t="s">
        <v>9</v>
      </c>
      <c r="G1276" s="15">
        <v>81.7</v>
      </c>
      <c r="H1276" t="s">
        <v>25</v>
      </c>
      <c r="I1276">
        <v>1</v>
      </c>
      <c r="J1276" t="s">
        <v>47</v>
      </c>
      <c r="K1276" t="s">
        <v>46</v>
      </c>
      <c r="L1276" t="s">
        <v>45</v>
      </c>
      <c r="M1276" t="s">
        <v>59</v>
      </c>
      <c r="N1276" s="15">
        <v>88.05</v>
      </c>
      <c r="O1276" s="16">
        <v>-7.2</v>
      </c>
      <c r="P1276">
        <v>0</v>
      </c>
    </row>
    <row r="1277" spans="1:16" x14ac:dyDescent="0.3">
      <c r="A1277" t="s">
        <v>57</v>
      </c>
      <c r="B1277" t="s">
        <v>21</v>
      </c>
      <c r="C1277" t="s">
        <v>62</v>
      </c>
      <c r="D1277" t="s">
        <v>15</v>
      </c>
      <c r="E1277" t="s">
        <v>75</v>
      </c>
      <c r="F1277" t="s">
        <v>9</v>
      </c>
      <c r="G1277" s="15">
        <v>97.96</v>
      </c>
      <c r="H1277" t="s">
        <v>26</v>
      </c>
      <c r="I1277">
        <v>2</v>
      </c>
      <c r="J1277" t="s">
        <v>48</v>
      </c>
      <c r="K1277" t="s">
        <v>46</v>
      </c>
      <c r="L1277" t="s">
        <v>45</v>
      </c>
      <c r="M1277" t="s">
        <v>68</v>
      </c>
      <c r="N1277" s="15">
        <v>120.06</v>
      </c>
      <c r="O1277" s="16">
        <v>-18.399999999999999</v>
      </c>
      <c r="P1277">
        <v>0</v>
      </c>
    </row>
    <row r="1278" spans="1:16" x14ac:dyDescent="0.3">
      <c r="A1278" t="s">
        <v>60</v>
      </c>
      <c r="B1278" t="s">
        <v>19</v>
      </c>
      <c r="C1278" t="s">
        <v>19</v>
      </c>
      <c r="D1278" t="s">
        <v>10</v>
      </c>
      <c r="E1278" t="s">
        <v>69</v>
      </c>
      <c r="F1278" t="s">
        <v>9</v>
      </c>
      <c r="G1278" s="15">
        <v>152.62</v>
      </c>
      <c r="H1278" t="s">
        <v>26</v>
      </c>
      <c r="I1278">
        <v>2</v>
      </c>
      <c r="J1278" t="s">
        <v>48</v>
      </c>
      <c r="K1278" t="s">
        <v>46</v>
      </c>
      <c r="L1278" t="s">
        <v>46</v>
      </c>
      <c r="M1278" t="s">
        <v>61</v>
      </c>
      <c r="N1278" s="15">
        <v>158.6</v>
      </c>
      <c r="O1278" s="16">
        <v>-3.8</v>
      </c>
      <c r="P1278">
        <v>0</v>
      </c>
    </row>
    <row r="1279" spans="1:16" x14ac:dyDescent="0.3">
      <c r="A1279" t="s">
        <v>57</v>
      </c>
      <c r="B1279" t="s">
        <v>22</v>
      </c>
      <c r="C1279" t="s">
        <v>22</v>
      </c>
      <c r="D1279" t="s">
        <v>10</v>
      </c>
      <c r="E1279" t="s">
        <v>58</v>
      </c>
      <c r="F1279" t="s">
        <v>9</v>
      </c>
      <c r="G1279" s="15">
        <v>148.13</v>
      </c>
      <c r="H1279" t="s">
        <v>26</v>
      </c>
      <c r="I1279">
        <v>2</v>
      </c>
      <c r="J1279" t="s">
        <v>48</v>
      </c>
      <c r="K1279" t="s">
        <v>45</v>
      </c>
      <c r="L1279" t="s">
        <v>45</v>
      </c>
      <c r="M1279" t="s">
        <v>61</v>
      </c>
      <c r="N1279" s="15">
        <v>151.19</v>
      </c>
      <c r="O1279" s="16">
        <v>-2</v>
      </c>
      <c r="P1279">
        <v>0</v>
      </c>
    </row>
    <row r="1280" spans="1:16" x14ac:dyDescent="0.3">
      <c r="A1280" t="s">
        <v>60</v>
      </c>
      <c r="B1280" t="s">
        <v>17</v>
      </c>
      <c r="C1280" t="s">
        <v>17</v>
      </c>
      <c r="D1280" t="s">
        <v>14</v>
      </c>
      <c r="E1280" t="s">
        <v>71</v>
      </c>
      <c r="F1280" t="s">
        <v>9</v>
      </c>
      <c r="G1280" s="15">
        <v>80</v>
      </c>
      <c r="H1280" t="s">
        <v>26</v>
      </c>
      <c r="I1280">
        <v>2</v>
      </c>
      <c r="J1280" t="s">
        <v>47</v>
      </c>
      <c r="K1280" t="s">
        <v>45</v>
      </c>
      <c r="L1280" t="s">
        <v>45</v>
      </c>
      <c r="M1280" t="s">
        <v>59</v>
      </c>
      <c r="N1280" s="15">
        <v>65.239999999999995</v>
      </c>
      <c r="O1280" s="16">
        <v>22.6</v>
      </c>
      <c r="P1280">
        <v>1</v>
      </c>
    </row>
    <row r="1281" spans="1:16" x14ac:dyDescent="0.3">
      <c r="A1281" t="s">
        <v>65</v>
      </c>
      <c r="B1281" t="s">
        <v>20</v>
      </c>
      <c r="C1281" t="s">
        <v>20</v>
      </c>
      <c r="D1281" t="s">
        <v>14</v>
      </c>
      <c r="E1281" t="s">
        <v>63</v>
      </c>
      <c r="F1281" t="s">
        <v>9</v>
      </c>
      <c r="G1281" s="15">
        <v>59.54</v>
      </c>
      <c r="H1281" t="s">
        <v>26</v>
      </c>
      <c r="I1281">
        <v>2</v>
      </c>
      <c r="J1281" t="s">
        <v>47</v>
      </c>
      <c r="K1281" t="s">
        <v>46</v>
      </c>
      <c r="L1281" t="s">
        <v>45</v>
      </c>
      <c r="M1281" t="s">
        <v>59</v>
      </c>
      <c r="N1281" s="15">
        <v>68.150000000000006</v>
      </c>
      <c r="O1281" s="16">
        <v>-12.6</v>
      </c>
      <c r="P1281">
        <v>0</v>
      </c>
    </row>
    <row r="1282" spans="1:16" x14ac:dyDescent="0.3">
      <c r="A1282" t="s">
        <v>60</v>
      </c>
      <c r="B1282" t="s">
        <v>22</v>
      </c>
      <c r="C1282" t="s">
        <v>22</v>
      </c>
      <c r="D1282" t="s">
        <v>11</v>
      </c>
      <c r="E1282" t="s">
        <v>79</v>
      </c>
      <c r="F1282" t="s">
        <v>9</v>
      </c>
      <c r="G1282" s="15">
        <v>24.42</v>
      </c>
      <c r="H1282" t="s">
        <v>27</v>
      </c>
      <c r="I1282">
        <v>3</v>
      </c>
      <c r="J1282" t="s">
        <v>48</v>
      </c>
      <c r="K1282" t="s">
        <v>45</v>
      </c>
      <c r="L1282" t="s">
        <v>45</v>
      </c>
      <c r="M1282" t="s">
        <v>59</v>
      </c>
      <c r="N1282" s="15">
        <v>29.14</v>
      </c>
      <c r="O1282" s="16">
        <v>-16.2</v>
      </c>
      <c r="P1282">
        <v>0</v>
      </c>
    </row>
    <row r="1283" spans="1:16" x14ac:dyDescent="0.3">
      <c r="A1283" t="s">
        <v>65</v>
      </c>
      <c r="B1283" t="s">
        <v>20</v>
      </c>
      <c r="C1283" t="s">
        <v>20</v>
      </c>
      <c r="D1283" t="s">
        <v>15</v>
      </c>
      <c r="E1283" t="s">
        <v>75</v>
      </c>
      <c r="F1283" t="s">
        <v>9</v>
      </c>
      <c r="G1283" s="15">
        <v>107.98</v>
      </c>
      <c r="H1283" t="s">
        <v>27</v>
      </c>
      <c r="I1283">
        <v>3</v>
      </c>
      <c r="J1283" t="s">
        <v>48</v>
      </c>
      <c r="K1283" t="s">
        <v>46</v>
      </c>
      <c r="L1283" t="s">
        <v>45</v>
      </c>
      <c r="M1283" t="s">
        <v>67</v>
      </c>
      <c r="N1283" s="15">
        <v>126.9</v>
      </c>
      <c r="O1283" s="16">
        <v>-14.9</v>
      </c>
      <c r="P1283">
        <v>0</v>
      </c>
    </row>
    <row r="1284" spans="1:16" x14ac:dyDescent="0.3">
      <c r="A1284" t="s">
        <v>57</v>
      </c>
      <c r="B1284" t="s">
        <v>17</v>
      </c>
      <c r="C1284" t="s">
        <v>17</v>
      </c>
      <c r="D1284" t="s">
        <v>14</v>
      </c>
      <c r="E1284" t="s">
        <v>77</v>
      </c>
      <c r="F1284" t="s">
        <v>9</v>
      </c>
      <c r="G1284" s="15">
        <v>66.069999999999993</v>
      </c>
      <c r="H1284" t="s">
        <v>26</v>
      </c>
      <c r="I1284">
        <v>2</v>
      </c>
      <c r="J1284" t="s">
        <v>48</v>
      </c>
      <c r="K1284" t="s">
        <v>45</v>
      </c>
      <c r="L1284" t="s">
        <v>45</v>
      </c>
      <c r="M1284" t="s">
        <v>59</v>
      </c>
      <c r="N1284" s="15">
        <v>65.97</v>
      </c>
      <c r="O1284" s="16">
        <v>0.2</v>
      </c>
      <c r="P1284">
        <v>0</v>
      </c>
    </row>
    <row r="1285" spans="1:16" x14ac:dyDescent="0.3">
      <c r="A1285" t="s">
        <v>65</v>
      </c>
      <c r="B1285" t="s">
        <v>22</v>
      </c>
      <c r="C1285" t="s">
        <v>22</v>
      </c>
      <c r="D1285" t="s">
        <v>10</v>
      </c>
      <c r="E1285" t="s">
        <v>69</v>
      </c>
      <c r="F1285" t="s">
        <v>9</v>
      </c>
      <c r="G1285" s="15">
        <v>167.58</v>
      </c>
      <c r="H1285" t="s">
        <v>26</v>
      </c>
      <c r="I1285">
        <v>2</v>
      </c>
      <c r="J1285" t="s">
        <v>48</v>
      </c>
      <c r="K1285" t="s">
        <v>45</v>
      </c>
      <c r="L1285" t="s">
        <v>45</v>
      </c>
      <c r="M1285" t="s">
        <v>61</v>
      </c>
      <c r="N1285" s="15">
        <v>158.91999999999999</v>
      </c>
      <c r="O1285" s="16">
        <v>5.4</v>
      </c>
      <c r="P1285">
        <v>0</v>
      </c>
    </row>
    <row r="1286" spans="1:16" x14ac:dyDescent="0.3">
      <c r="A1286" t="s">
        <v>65</v>
      </c>
      <c r="B1286" t="s">
        <v>19</v>
      </c>
      <c r="C1286" t="s">
        <v>19</v>
      </c>
      <c r="D1286" t="s">
        <v>8</v>
      </c>
      <c r="E1286" t="s">
        <v>74</v>
      </c>
      <c r="F1286" t="s">
        <v>9</v>
      </c>
      <c r="G1286" s="15">
        <v>109.78</v>
      </c>
      <c r="H1286" t="s">
        <v>26</v>
      </c>
      <c r="I1286">
        <v>2</v>
      </c>
      <c r="J1286" t="s">
        <v>47</v>
      </c>
      <c r="K1286" t="s">
        <v>45</v>
      </c>
      <c r="L1286" t="s">
        <v>45</v>
      </c>
      <c r="M1286" t="s">
        <v>59</v>
      </c>
      <c r="N1286" s="15">
        <v>91.13</v>
      </c>
      <c r="O1286" s="16">
        <v>20.5</v>
      </c>
      <c r="P1286">
        <v>1</v>
      </c>
    </row>
    <row r="1287" spans="1:16" x14ac:dyDescent="0.3">
      <c r="A1287" t="s">
        <v>65</v>
      </c>
      <c r="B1287" t="s">
        <v>19</v>
      </c>
      <c r="C1287" t="s">
        <v>19</v>
      </c>
      <c r="D1287" t="s">
        <v>12</v>
      </c>
      <c r="E1287" t="s">
        <v>80</v>
      </c>
      <c r="F1287" t="s">
        <v>13</v>
      </c>
      <c r="G1287" s="15">
        <v>144</v>
      </c>
      <c r="H1287" t="s">
        <v>25</v>
      </c>
      <c r="I1287">
        <v>1</v>
      </c>
      <c r="J1287" t="s">
        <v>47</v>
      </c>
      <c r="K1287" t="s">
        <v>45</v>
      </c>
      <c r="L1287" t="s">
        <v>45</v>
      </c>
      <c r="M1287" t="s">
        <v>59</v>
      </c>
      <c r="N1287" s="15">
        <v>176.57</v>
      </c>
      <c r="O1287" s="16">
        <v>-18.399999999999999</v>
      </c>
      <c r="P1287">
        <v>0</v>
      </c>
    </row>
    <row r="1288" spans="1:16" x14ac:dyDescent="0.3">
      <c r="A1288" t="s">
        <v>57</v>
      </c>
      <c r="B1288" t="s">
        <v>19</v>
      </c>
      <c r="C1288" t="s">
        <v>19</v>
      </c>
      <c r="D1288" t="s">
        <v>10</v>
      </c>
      <c r="E1288" t="s">
        <v>58</v>
      </c>
      <c r="F1288" t="s">
        <v>9</v>
      </c>
      <c r="G1288" s="15">
        <v>190.95</v>
      </c>
      <c r="H1288" t="s">
        <v>26</v>
      </c>
      <c r="I1288">
        <v>2</v>
      </c>
      <c r="J1288" t="s">
        <v>47</v>
      </c>
      <c r="K1288" t="s">
        <v>45</v>
      </c>
      <c r="L1288" t="s">
        <v>46</v>
      </c>
      <c r="M1288" t="s">
        <v>61</v>
      </c>
      <c r="N1288" s="15">
        <v>151.19</v>
      </c>
      <c r="O1288" s="16">
        <v>26.3</v>
      </c>
      <c r="P1288">
        <v>1</v>
      </c>
    </row>
    <row r="1289" spans="1:16" x14ac:dyDescent="0.3">
      <c r="A1289" t="s">
        <v>65</v>
      </c>
      <c r="B1289" t="s">
        <v>18</v>
      </c>
      <c r="C1289" t="s">
        <v>18</v>
      </c>
      <c r="D1289" t="s">
        <v>14</v>
      </c>
      <c r="E1289" t="s">
        <v>77</v>
      </c>
      <c r="F1289" t="s">
        <v>9</v>
      </c>
      <c r="G1289" s="15">
        <v>78.319999999999993</v>
      </c>
      <c r="H1289" t="s">
        <v>25</v>
      </c>
      <c r="I1289">
        <v>1</v>
      </c>
      <c r="J1289" t="s">
        <v>47</v>
      </c>
      <c r="K1289" t="s">
        <v>46</v>
      </c>
      <c r="L1289" t="s">
        <v>46</v>
      </c>
      <c r="M1289" t="s">
        <v>68</v>
      </c>
      <c r="N1289" s="15">
        <v>70.66</v>
      </c>
      <c r="O1289" s="16">
        <v>10.8</v>
      </c>
      <c r="P1289">
        <v>0</v>
      </c>
    </row>
    <row r="1290" spans="1:16" x14ac:dyDescent="0.3">
      <c r="A1290" t="s">
        <v>60</v>
      </c>
      <c r="B1290" t="s">
        <v>19</v>
      </c>
      <c r="C1290" t="s">
        <v>19</v>
      </c>
      <c r="D1290" t="s">
        <v>8</v>
      </c>
      <c r="E1290" t="s">
        <v>74</v>
      </c>
      <c r="F1290" t="s">
        <v>9</v>
      </c>
      <c r="G1290" s="15">
        <v>75.38</v>
      </c>
      <c r="H1290" t="s">
        <v>26</v>
      </c>
      <c r="I1290">
        <v>2</v>
      </c>
      <c r="J1290" t="s">
        <v>48</v>
      </c>
      <c r="K1290" t="s">
        <v>46</v>
      </c>
      <c r="L1290" t="s">
        <v>45</v>
      </c>
      <c r="M1290" t="s">
        <v>72</v>
      </c>
      <c r="N1290" s="15">
        <v>78.260000000000005</v>
      </c>
      <c r="O1290" s="16">
        <v>-3.7</v>
      </c>
      <c r="P1290">
        <v>0</v>
      </c>
    </row>
    <row r="1291" spans="1:16" x14ac:dyDescent="0.3">
      <c r="A1291" t="s">
        <v>65</v>
      </c>
      <c r="B1291" t="s">
        <v>21</v>
      </c>
      <c r="C1291" t="s">
        <v>62</v>
      </c>
      <c r="D1291" t="s">
        <v>15</v>
      </c>
      <c r="E1291" t="s">
        <v>76</v>
      </c>
      <c r="F1291" t="s">
        <v>9</v>
      </c>
      <c r="G1291" s="15">
        <v>113.98</v>
      </c>
      <c r="H1291" t="s">
        <v>26</v>
      </c>
      <c r="I1291">
        <v>2</v>
      </c>
      <c r="J1291" t="s">
        <v>48</v>
      </c>
      <c r="K1291" t="s">
        <v>45</v>
      </c>
      <c r="L1291" t="s">
        <v>45</v>
      </c>
      <c r="M1291" t="s">
        <v>78</v>
      </c>
      <c r="N1291" s="15">
        <v>126.51</v>
      </c>
      <c r="O1291" s="16">
        <v>-9.9</v>
      </c>
      <c r="P1291">
        <v>0</v>
      </c>
    </row>
    <row r="1292" spans="1:16" x14ac:dyDescent="0.3">
      <c r="A1292" t="s">
        <v>65</v>
      </c>
      <c r="B1292" t="s">
        <v>21</v>
      </c>
      <c r="C1292" t="s">
        <v>62</v>
      </c>
      <c r="D1292" t="s">
        <v>11</v>
      </c>
      <c r="E1292" t="s">
        <v>70</v>
      </c>
      <c r="F1292" t="s">
        <v>9</v>
      </c>
      <c r="G1292" s="15">
        <v>34.51</v>
      </c>
      <c r="H1292" t="s">
        <v>27</v>
      </c>
      <c r="I1292">
        <v>3</v>
      </c>
      <c r="J1292" t="s">
        <v>47</v>
      </c>
      <c r="K1292" t="s">
        <v>45</v>
      </c>
      <c r="L1292" t="s">
        <v>45</v>
      </c>
      <c r="M1292" t="s">
        <v>68</v>
      </c>
      <c r="N1292" s="15">
        <v>32.630000000000003</v>
      </c>
      <c r="O1292" s="16">
        <v>5.8</v>
      </c>
      <c r="P1292">
        <v>0</v>
      </c>
    </row>
    <row r="1293" spans="1:16" x14ac:dyDescent="0.3">
      <c r="A1293" t="s">
        <v>60</v>
      </c>
      <c r="B1293" t="s">
        <v>19</v>
      </c>
      <c r="C1293" t="s">
        <v>19</v>
      </c>
      <c r="D1293" t="s">
        <v>10</v>
      </c>
      <c r="E1293" t="s">
        <v>69</v>
      </c>
      <c r="F1293" t="s">
        <v>9</v>
      </c>
      <c r="G1293" s="15">
        <v>163.89</v>
      </c>
      <c r="H1293" t="s">
        <v>25</v>
      </c>
      <c r="I1293">
        <v>1</v>
      </c>
      <c r="J1293" t="s">
        <v>48</v>
      </c>
      <c r="K1293" t="s">
        <v>45</v>
      </c>
      <c r="L1293" t="s">
        <v>45</v>
      </c>
      <c r="M1293" t="s">
        <v>61</v>
      </c>
      <c r="N1293" s="15">
        <v>158.6</v>
      </c>
      <c r="O1293" s="16">
        <v>3.3</v>
      </c>
      <c r="P1293">
        <v>0</v>
      </c>
    </row>
    <row r="1294" spans="1:16" x14ac:dyDescent="0.3">
      <c r="A1294" t="s">
        <v>57</v>
      </c>
      <c r="B1294" t="s">
        <v>17</v>
      </c>
      <c r="C1294" t="s">
        <v>17</v>
      </c>
      <c r="D1294" t="s">
        <v>15</v>
      </c>
      <c r="E1294" t="s">
        <v>75</v>
      </c>
      <c r="F1294" t="s">
        <v>9</v>
      </c>
      <c r="G1294" s="15">
        <v>139.68</v>
      </c>
      <c r="H1294" t="s">
        <v>27</v>
      </c>
      <c r="I1294">
        <v>3</v>
      </c>
      <c r="J1294" t="s">
        <v>47</v>
      </c>
      <c r="K1294" t="s">
        <v>45</v>
      </c>
      <c r="L1294" t="s">
        <v>45</v>
      </c>
      <c r="M1294" t="s">
        <v>61</v>
      </c>
      <c r="N1294" s="15">
        <v>120.06</v>
      </c>
      <c r="O1294" s="16">
        <v>16.3</v>
      </c>
      <c r="P1294">
        <v>1</v>
      </c>
    </row>
    <row r="1295" spans="1:16" x14ac:dyDescent="0.3">
      <c r="A1295" t="s">
        <v>57</v>
      </c>
      <c r="B1295" t="s">
        <v>22</v>
      </c>
      <c r="C1295" t="s">
        <v>22</v>
      </c>
      <c r="D1295" t="s">
        <v>11</v>
      </c>
      <c r="E1295" t="s">
        <v>79</v>
      </c>
      <c r="F1295" t="s">
        <v>9</v>
      </c>
      <c r="G1295" s="15">
        <v>35.76</v>
      </c>
      <c r="H1295" t="s">
        <v>26</v>
      </c>
      <c r="I1295">
        <v>2</v>
      </c>
      <c r="J1295" t="s">
        <v>48</v>
      </c>
      <c r="K1295" t="s">
        <v>46</v>
      </c>
      <c r="L1295" t="s">
        <v>45</v>
      </c>
      <c r="M1295" t="s">
        <v>68</v>
      </c>
      <c r="N1295" s="15">
        <v>30.93</v>
      </c>
      <c r="O1295" s="16">
        <v>15.6</v>
      </c>
      <c r="P1295">
        <v>1</v>
      </c>
    </row>
    <row r="1296" spans="1:16" x14ac:dyDescent="0.3">
      <c r="A1296" t="s">
        <v>65</v>
      </c>
      <c r="B1296" t="s">
        <v>21</v>
      </c>
      <c r="C1296" t="s">
        <v>62</v>
      </c>
      <c r="D1296" t="s">
        <v>8</v>
      </c>
      <c r="E1296" t="s">
        <v>74</v>
      </c>
      <c r="F1296" t="s">
        <v>9</v>
      </c>
      <c r="G1296" s="15">
        <v>93.24</v>
      </c>
      <c r="H1296" t="s">
        <v>25</v>
      </c>
      <c r="I1296">
        <v>1</v>
      </c>
      <c r="J1296" t="s">
        <v>47</v>
      </c>
      <c r="K1296" t="s">
        <v>46</v>
      </c>
      <c r="L1296" t="s">
        <v>45</v>
      </c>
      <c r="M1296" t="s">
        <v>72</v>
      </c>
      <c r="N1296" s="15">
        <v>91.13</v>
      </c>
      <c r="O1296" s="16">
        <v>2.2999999999999998</v>
      </c>
      <c r="P1296">
        <v>0</v>
      </c>
    </row>
    <row r="1297" spans="1:16" x14ac:dyDescent="0.3">
      <c r="A1297" t="s">
        <v>60</v>
      </c>
      <c r="B1297" t="s">
        <v>19</v>
      </c>
      <c r="C1297" t="s">
        <v>19</v>
      </c>
      <c r="D1297" t="s">
        <v>15</v>
      </c>
      <c r="E1297" t="s">
        <v>75</v>
      </c>
      <c r="F1297" t="s">
        <v>9</v>
      </c>
      <c r="G1297" s="15">
        <v>132.15</v>
      </c>
      <c r="H1297" t="s">
        <v>25</v>
      </c>
      <c r="I1297">
        <v>1</v>
      </c>
      <c r="J1297" t="s">
        <v>47</v>
      </c>
      <c r="K1297" t="s">
        <v>46</v>
      </c>
      <c r="L1297" t="s">
        <v>45</v>
      </c>
      <c r="M1297" t="s">
        <v>78</v>
      </c>
      <c r="N1297" s="15">
        <v>119</v>
      </c>
      <c r="O1297" s="16">
        <v>11.1</v>
      </c>
      <c r="P1297">
        <v>0</v>
      </c>
    </row>
    <row r="1298" spans="1:16" x14ac:dyDescent="0.3">
      <c r="A1298" t="s">
        <v>57</v>
      </c>
      <c r="B1298" t="s">
        <v>21</v>
      </c>
      <c r="C1298" t="s">
        <v>62</v>
      </c>
      <c r="D1298" t="s">
        <v>8</v>
      </c>
      <c r="E1298" t="s">
        <v>74</v>
      </c>
      <c r="F1298" t="s">
        <v>9</v>
      </c>
      <c r="G1298" s="15">
        <v>69.94</v>
      </c>
      <c r="H1298" t="s">
        <v>27</v>
      </c>
      <c r="I1298">
        <v>3</v>
      </c>
      <c r="J1298" t="s">
        <v>48</v>
      </c>
      <c r="K1298" t="s">
        <v>46</v>
      </c>
      <c r="L1298" t="s">
        <v>45</v>
      </c>
      <c r="M1298" t="s">
        <v>72</v>
      </c>
      <c r="N1298" s="15">
        <v>83.41</v>
      </c>
      <c r="O1298" s="16">
        <v>-16.100000000000001</v>
      </c>
      <c r="P1298">
        <v>0</v>
      </c>
    </row>
    <row r="1299" spans="1:16" x14ac:dyDescent="0.3">
      <c r="A1299" t="s">
        <v>57</v>
      </c>
      <c r="B1299" t="s">
        <v>21</v>
      </c>
      <c r="C1299" t="s">
        <v>62</v>
      </c>
      <c r="D1299" t="s">
        <v>12</v>
      </c>
      <c r="E1299" t="s">
        <v>80</v>
      </c>
      <c r="F1299" t="s">
        <v>13</v>
      </c>
      <c r="G1299" s="15">
        <v>178.17</v>
      </c>
      <c r="H1299" t="s">
        <v>25</v>
      </c>
      <c r="I1299">
        <v>1</v>
      </c>
      <c r="J1299" t="s">
        <v>44</v>
      </c>
      <c r="K1299" t="s">
        <v>45</v>
      </c>
      <c r="L1299" t="s">
        <v>45</v>
      </c>
      <c r="M1299" t="s">
        <v>72</v>
      </c>
      <c r="N1299" s="15">
        <v>162.72999999999999</v>
      </c>
      <c r="O1299" s="16">
        <v>9.5</v>
      </c>
      <c r="P1299">
        <v>0</v>
      </c>
    </row>
    <row r="1300" spans="1:16" x14ac:dyDescent="0.3">
      <c r="A1300" t="s">
        <v>57</v>
      </c>
      <c r="B1300" t="s">
        <v>17</v>
      </c>
      <c r="C1300" t="s">
        <v>17</v>
      </c>
      <c r="D1300" t="s">
        <v>11</v>
      </c>
      <c r="E1300" t="s">
        <v>70</v>
      </c>
      <c r="F1300" t="s">
        <v>9</v>
      </c>
      <c r="G1300" s="15">
        <v>30.35</v>
      </c>
      <c r="H1300" t="s">
        <v>27</v>
      </c>
      <c r="I1300">
        <v>3</v>
      </c>
      <c r="J1300" t="s">
        <v>44</v>
      </c>
      <c r="K1300" t="s">
        <v>46</v>
      </c>
      <c r="L1300" t="s">
        <v>45</v>
      </c>
      <c r="M1300" t="s">
        <v>59</v>
      </c>
      <c r="N1300" s="15">
        <v>30.5</v>
      </c>
      <c r="O1300" s="16">
        <v>-0.5</v>
      </c>
      <c r="P1300">
        <v>0</v>
      </c>
    </row>
    <row r="1301" spans="1:16" x14ac:dyDescent="0.3">
      <c r="A1301" t="s">
        <v>65</v>
      </c>
      <c r="B1301" t="s">
        <v>22</v>
      </c>
      <c r="C1301" t="s">
        <v>22</v>
      </c>
      <c r="D1301" t="s">
        <v>12</v>
      </c>
      <c r="E1301" t="s">
        <v>66</v>
      </c>
      <c r="F1301" t="s">
        <v>13</v>
      </c>
      <c r="G1301" s="15">
        <v>163.9</v>
      </c>
      <c r="H1301" t="s">
        <v>26</v>
      </c>
      <c r="I1301">
        <v>2</v>
      </c>
      <c r="J1301" t="s">
        <v>48</v>
      </c>
      <c r="K1301" t="s">
        <v>45</v>
      </c>
      <c r="L1301" t="s">
        <v>45</v>
      </c>
      <c r="M1301" t="s">
        <v>64</v>
      </c>
      <c r="N1301" s="15">
        <v>178.49</v>
      </c>
      <c r="O1301" s="16">
        <v>-8.1999999999999993</v>
      </c>
      <c r="P1301">
        <v>0</v>
      </c>
    </row>
    <row r="1302" spans="1:16" x14ac:dyDescent="0.3">
      <c r="A1302" t="s">
        <v>60</v>
      </c>
      <c r="B1302" t="s">
        <v>21</v>
      </c>
      <c r="C1302" t="s">
        <v>62</v>
      </c>
      <c r="D1302" t="s">
        <v>15</v>
      </c>
      <c r="E1302" t="s">
        <v>76</v>
      </c>
      <c r="F1302" t="s">
        <v>9</v>
      </c>
      <c r="G1302" s="15">
        <v>129.77000000000001</v>
      </c>
      <c r="H1302" t="s">
        <v>26</v>
      </c>
      <c r="I1302">
        <v>2</v>
      </c>
      <c r="J1302" t="s">
        <v>48</v>
      </c>
      <c r="K1302" t="s">
        <v>45</v>
      </c>
      <c r="L1302" t="s">
        <v>45</v>
      </c>
      <c r="M1302" t="s">
        <v>72</v>
      </c>
      <c r="N1302" s="15">
        <v>116.32</v>
      </c>
      <c r="O1302" s="16">
        <v>11.6</v>
      </c>
      <c r="P1302">
        <v>0</v>
      </c>
    </row>
    <row r="1303" spans="1:16" x14ac:dyDescent="0.3">
      <c r="A1303" t="s">
        <v>57</v>
      </c>
      <c r="B1303" t="s">
        <v>22</v>
      </c>
      <c r="C1303" t="s">
        <v>22</v>
      </c>
      <c r="D1303" t="s">
        <v>14</v>
      </c>
      <c r="E1303" t="s">
        <v>63</v>
      </c>
      <c r="F1303" t="s">
        <v>9</v>
      </c>
      <c r="G1303" s="15">
        <v>66.739999999999995</v>
      </c>
      <c r="H1303" t="s">
        <v>26</v>
      </c>
      <c r="I1303">
        <v>2</v>
      </c>
      <c r="J1303" t="s">
        <v>48</v>
      </c>
      <c r="K1303" t="s">
        <v>46</v>
      </c>
      <c r="L1303" t="s">
        <v>45</v>
      </c>
      <c r="M1303" t="s">
        <v>78</v>
      </c>
      <c r="N1303" s="15">
        <v>65.16</v>
      </c>
      <c r="O1303" s="16">
        <v>2.4</v>
      </c>
      <c r="P1303">
        <v>0</v>
      </c>
    </row>
    <row r="1304" spans="1:16" x14ac:dyDescent="0.3">
      <c r="A1304" t="s">
        <v>60</v>
      </c>
      <c r="B1304" t="s">
        <v>20</v>
      </c>
      <c r="C1304" t="s">
        <v>20</v>
      </c>
      <c r="D1304" t="s">
        <v>12</v>
      </c>
      <c r="E1304" t="s">
        <v>80</v>
      </c>
      <c r="F1304" t="s">
        <v>13</v>
      </c>
      <c r="G1304" s="15">
        <v>140.41999999999999</v>
      </c>
      <c r="H1304" t="s">
        <v>27</v>
      </c>
      <c r="I1304">
        <v>3</v>
      </c>
      <c r="J1304" t="s">
        <v>47</v>
      </c>
      <c r="K1304" t="s">
        <v>46</v>
      </c>
      <c r="L1304" t="s">
        <v>45</v>
      </c>
      <c r="M1304" t="s">
        <v>78</v>
      </c>
      <c r="N1304" s="15">
        <v>167.63</v>
      </c>
      <c r="O1304" s="16">
        <v>-16.2</v>
      </c>
      <c r="P1304">
        <v>0</v>
      </c>
    </row>
    <row r="1305" spans="1:16" x14ac:dyDescent="0.3">
      <c r="A1305" t="s">
        <v>65</v>
      </c>
      <c r="B1305" t="s">
        <v>17</v>
      </c>
      <c r="C1305" t="s">
        <v>17</v>
      </c>
      <c r="D1305" t="s">
        <v>10</v>
      </c>
      <c r="E1305" t="s">
        <v>58</v>
      </c>
      <c r="F1305" t="s">
        <v>9</v>
      </c>
      <c r="G1305" s="15">
        <v>186.86</v>
      </c>
      <c r="H1305" t="s">
        <v>26</v>
      </c>
      <c r="I1305">
        <v>2</v>
      </c>
      <c r="J1305" t="s">
        <v>47</v>
      </c>
      <c r="K1305" t="s">
        <v>45</v>
      </c>
      <c r="L1305" t="s">
        <v>45</v>
      </c>
      <c r="M1305" t="s">
        <v>67</v>
      </c>
      <c r="N1305" s="15">
        <v>166.29</v>
      </c>
      <c r="O1305" s="16">
        <v>12.4</v>
      </c>
      <c r="P1305">
        <v>0</v>
      </c>
    </row>
    <row r="1306" spans="1:16" x14ac:dyDescent="0.3">
      <c r="A1306" t="s">
        <v>57</v>
      </c>
      <c r="B1306" t="s">
        <v>20</v>
      </c>
      <c r="C1306" t="s">
        <v>20</v>
      </c>
      <c r="D1306" t="s">
        <v>15</v>
      </c>
      <c r="E1306" t="s">
        <v>76</v>
      </c>
      <c r="F1306" t="s">
        <v>9</v>
      </c>
      <c r="G1306" s="15">
        <v>122.96</v>
      </c>
      <c r="H1306" t="s">
        <v>25</v>
      </c>
      <c r="I1306">
        <v>1</v>
      </c>
      <c r="J1306" t="s">
        <v>47</v>
      </c>
      <c r="K1306" t="s">
        <v>45</v>
      </c>
      <c r="L1306" t="s">
        <v>45</v>
      </c>
      <c r="M1306" t="s">
        <v>67</v>
      </c>
      <c r="N1306" s="15">
        <v>118.59</v>
      </c>
      <c r="O1306" s="16">
        <v>3.7</v>
      </c>
      <c r="P1306">
        <v>0</v>
      </c>
    </row>
    <row r="1307" spans="1:16" x14ac:dyDescent="0.3">
      <c r="A1307" t="s">
        <v>57</v>
      </c>
      <c r="B1307" t="s">
        <v>19</v>
      </c>
      <c r="C1307" t="s">
        <v>19</v>
      </c>
      <c r="D1307" t="s">
        <v>15</v>
      </c>
      <c r="E1307" t="s">
        <v>75</v>
      </c>
      <c r="F1307" t="s">
        <v>9</v>
      </c>
      <c r="G1307" s="15">
        <v>134.08000000000001</v>
      </c>
      <c r="H1307" t="s">
        <v>25</v>
      </c>
      <c r="I1307">
        <v>1</v>
      </c>
      <c r="J1307" t="s">
        <v>48</v>
      </c>
      <c r="K1307" t="s">
        <v>45</v>
      </c>
      <c r="L1307" t="s">
        <v>46</v>
      </c>
      <c r="M1307" t="s">
        <v>61</v>
      </c>
      <c r="N1307" s="15">
        <v>120.06</v>
      </c>
      <c r="O1307" s="16">
        <v>11.7</v>
      </c>
      <c r="P1307">
        <v>0</v>
      </c>
    </row>
    <row r="1308" spans="1:16" x14ac:dyDescent="0.3">
      <c r="A1308" t="s">
        <v>65</v>
      </c>
      <c r="B1308" t="s">
        <v>21</v>
      </c>
      <c r="C1308" t="s">
        <v>62</v>
      </c>
      <c r="D1308" t="s">
        <v>15</v>
      </c>
      <c r="E1308" t="s">
        <v>75</v>
      </c>
      <c r="F1308" t="s">
        <v>9</v>
      </c>
      <c r="G1308" s="15">
        <v>101.18</v>
      </c>
      <c r="H1308" t="s">
        <v>26</v>
      </c>
      <c r="I1308">
        <v>2</v>
      </c>
      <c r="J1308" t="s">
        <v>47</v>
      </c>
      <c r="K1308" t="s">
        <v>45</v>
      </c>
      <c r="L1308" t="s">
        <v>45</v>
      </c>
      <c r="M1308" t="s">
        <v>68</v>
      </c>
      <c r="N1308" s="15">
        <v>126.9</v>
      </c>
      <c r="O1308" s="16">
        <v>-20.3</v>
      </c>
      <c r="P1308">
        <v>0</v>
      </c>
    </row>
    <row r="1309" spans="1:16" x14ac:dyDescent="0.3">
      <c r="A1309" t="s">
        <v>65</v>
      </c>
      <c r="B1309" t="s">
        <v>22</v>
      </c>
      <c r="C1309" t="s">
        <v>22</v>
      </c>
      <c r="D1309" t="s">
        <v>8</v>
      </c>
      <c r="E1309" t="s">
        <v>73</v>
      </c>
      <c r="F1309" t="s">
        <v>9</v>
      </c>
      <c r="G1309" s="15">
        <v>70.33</v>
      </c>
      <c r="H1309" t="s">
        <v>27</v>
      </c>
      <c r="I1309">
        <v>3</v>
      </c>
      <c r="J1309" t="s">
        <v>47</v>
      </c>
      <c r="K1309" t="s">
        <v>45</v>
      </c>
      <c r="L1309" t="s">
        <v>45</v>
      </c>
      <c r="M1309" t="s">
        <v>59</v>
      </c>
      <c r="N1309" s="15">
        <v>88.05</v>
      </c>
      <c r="O1309" s="16">
        <v>-20.100000000000001</v>
      </c>
      <c r="P1309">
        <v>0</v>
      </c>
    </row>
    <row r="1310" spans="1:16" x14ac:dyDescent="0.3">
      <c r="A1310" t="s">
        <v>65</v>
      </c>
      <c r="B1310" t="s">
        <v>21</v>
      </c>
      <c r="C1310" t="s">
        <v>62</v>
      </c>
      <c r="D1310" t="s">
        <v>15</v>
      </c>
      <c r="E1310" t="s">
        <v>76</v>
      </c>
      <c r="F1310" t="s">
        <v>9</v>
      </c>
      <c r="G1310" s="15">
        <v>118.61</v>
      </c>
      <c r="H1310" t="s">
        <v>26</v>
      </c>
      <c r="I1310">
        <v>2</v>
      </c>
      <c r="J1310" t="s">
        <v>47</v>
      </c>
      <c r="K1310" t="s">
        <v>45</v>
      </c>
      <c r="L1310" t="s">
        <v>45</v>
      </c>
      <c r="M1310" t="s">
        <v>67</v>
      </c>
      <c r="N1310" s="15">
        <v>126.51</v>
      </c>
      <c r="O1310" s="16">
        <v>-6.2</v>
      </c>
      <c r="P1310">
        <v>0</v>
      </c>
    </row>
    <row r="1311" spans="1:16" x14ac:dyDescent="0.3">
      <c r="A1311" t="s">
        <v>65</v>
      </c>
      <c r="B1311" t="s">
        <v>17</v>
      </c>
      <c r="C1311" t="s">
        <v>17</v>
      </c>
      <c r="D1311" t="s">
        <v>11</v>
      </c>
      <c r="E1311" t="s">
        <v>70</v>
      </c>
      <c r="F1311" t="s">
        <v>9</v>
      </c>
      <c r="G1311" s="15">
        <v>40</v>
      </c>
      <c r="H1311" t="s">
        <v>26</v>
      </c>
      <c r="I1311">
        <v>2</v>
      </c>
      <c r="J1311" t="s">
        <v>44</v>
      </c>
      <c r="K1311" t="s">
        <v>45</v>
      </c>
      <c r="L1311" t="s">
        <v>46</v>
      </c>
      <c r="M1311" t="s">
        <v>78</v>
      </c>
      <c r="N1311" s="15">
        <v>32.630000000000003</v>
      </c>
      <c r="O1311" s="16">
        <v>22.6</v>
      </c>
      <c r="P1311">
        <v>1</v>
      </c>
    </row>
    <row r="1312" spans="1:16" x14ac:dyDescent="0.3">
      <c r="A1312" t="s">
        <v>60</v>
      </c>
      <c r="B1312" t="s">
        <v>19</v>
      </c>
      <c r="C1312" t="s">
        <v>19</v>
      </c>
      <c r="D1312" t="s">
        <v>12</v>
      </c>
      <c r="E1312" t="s">
        <v>66</v>
      </c>
      <c r="F1312" t="s">
        <v>13</v>
      </c>
      <c r="G1312" s="15">
        <v>156.13999999999999</v>
      </c>
      <c r="H1312" t="s">
        <v>27</v>
      </c>
      <c r="I1312">
        <v>3</v>
      </c>
      <c r="J1312" t="s">
        <v>48</v>
      </c>
      <c r="K1312" t="s">
        <v>45</v>
      </c>
      <c r="L1312" t="s">
        <v>45</v>
      </c>
      <c r="M1312" t="s">
        <v>68</v>
      </c>
      <c r="N1312" s="15">
        <v>168.34</v>
      </c>
      <c r="O1312" s="16">
        <v>-7.2</v>
      </c>
      <c r="P1312">
        <v>0</v>
      </c>
    </row>
    <row r="1313" spans="1:16" x14ac:dyDescent="0.3">
      <c r="A1313" t="s">
        <v>60</v>
      </c>
      <c r="B1313" t="s">
        <v>20</v>
      </c>
      <c r="C1313" t="s">
        <v>20</v>
      </c>
      <c r="D1313" t="s">
        <v>14</v>
      </c>
      <c r="E1313" t="s">
        <v>71</v>
      </c>
      <c r="F1313" t="s">
        <v>9</v>
      </c>
      <c r="G1313" s="15">
        <v>68.39</v>
      </c>
      <c r="H1313" t="s">
        <v>26</v>
      </c>
      <c r="I1313">
        <v>2</v>
      </c>
      <c r="J1313" t="s">
        <v>48</v>
      </c>
      <c r="K1313" t="s">
        <v>46</v>
      </c>
      <c r="L1313" t="s">
        <v>45</v>
      </c>
      <c r="M1313" t="s">
        <v>68</v>
      </c>
      <c r="N1313" s="15">
        <v>65.239999999999995</v>
      </c>
      <c r="O1313" s="16">
        <v>4.8</v>
      </c>
      <c r="P1313">
        <v>0</v>
      </c>
    </row>
    <row r="1314" spans="1:16" x14ac:dyDescent="0.3">
      <c r="A1314" t="s">
        <v>57</v>
      </c>
      <c r="B1314" t="s">
        <v>19</v>
      </c>
      <c r="C1314" t="s">
        <v>19</v>
      </c>
      <c r="D1314" t="s">
        <v>10</v>
      </c>
      <c r="E1314" t="s">
        <v>69</v>
      </c>
      <c r="F1314" t="s">
        <v>9</v>
      </c>
      <c r="G1314" s="15">
        <v>155.35</v>
      </c>
      <c r="H1314" t="s">
        <v>26</v>
      </c>
      <c r="I1314">
        <v>2</v>
      </c>
      <c r="J1314" t="s">
        <v>47</v>
      </c>
      <c r="K1314" t="s">
        <v>46</v>
      </c>
      <c r="L1314" t="s">
        <v>45</v>
      </c>
      <c r="M1314" t="s">
        <v>64</v>
      </c>
      <c r="N1314" s="15">
        <v>150.38999999999999</v>
      </c>
      <c r="O1314" s="16">
        <v>3.3</v>
      </c>
      <c r="P1314">
        <v>0</v>
      </c>
    </row>
    <row r="1315" spans="1:16" x14ac:dyDescent="0.3">
      <c r="A1315" t="s">
        <v>57</v>
      </c>
      <c r="B1315" t="s">
        <v>18</v>
      </c>
      <c r="C1315" t="s">
        <v>18</v>
      </c>
      <c r="D1315" t="s">
        <v>14</v>
      </c>
      <c r="E1315" t="s">
        <v>77</v>
      </c>
      <c r="F1315" t="s">
        <v>9</v>
      </c>
      <c r="G1315" s="15">
        <v>62.49</v>
      </c>
      <c r="H1315" t="s">
        <v>26</v>
      </c>
      <c r="I1315">
        <v>2</v>
      </c>
      <c r="J1315" t="s">
        <v>47</v>
      </c>
      <c r="K1315" t="s">
        <v>46</v>
      </c>
      <c r="L1315" t="s">
        <v>46</v>
      </c>
      <c r="M1315" t="s">
        <v>61</v>
      </c>
      <c r="N1315" s="15">
        <v>65.97</v>
      </c>
      <c r="O1315" s="16">
        <v>-5.3</v>
      </c>
      <c r="P1315">
        <v>0</v>
      </c>
    </row>
    <row r="1316" spans="1:16" x14ac:dyDescent="0.3">
      <c r="A1316" t="s">
        <v>60</v>
      </c>
      <c r="B1316" t="s">
        <v>19</v>
      </c>
      <c r="C1316" t="s">
        <v>19</v>
      </c>
      <c r="D1316" t="s">
        <v>11</v>
      </c>
      <c r="E1316" t="s">
        <v>70</v>
      </c>
      <c r="F1316" t="s">
        <v>9</v>
      </c>
      <c r="G1316" s="15">
        <v>34.270000000000003</v>
      </c>
      <c r="H1316" t="s">
        <v>25</v>
      </c>
      <c r="I1316">
        <v>1</v>
      </c>
      <c r="J1316" t="s">
        <v>47</v>
      </c>
      <c r="K1316" t="s">
        <v>45</v>
      </c>
      <c r="L1316" t="s">
        <v>45</v>
      </c>
      <c r="M1316" t="s">
        <v>72</v>
      </c>
      <c r="N1316" s="15">
        <v>31.4</v>
      </c>
      <c r="O1316" s="16">
        <v>9.1</v>
      </c>
      <c r="P1316">
        <v>0</v>
      </c>
    </row>
    <row r="1317" spans="1:16" x14ac:dyDescent="0.3">
      <c r="A1317" t="s">
        <v>57</v>
      </c>
      <c r="B1317" t="s">
        <v>22</v>
      </c>
      <c r="C1317" t="s">
        <v>22</v>
      </c>
      <c r="D1317" t="s">
        <v>12</v>
      </c>
      <c r="E1317" t="s">
        <v>80</v>
      </c>
      <c r="F1317" t="s">
        <v>13</v>
      </c>
      <c r="G1317" s="15">
        <v>197.36</v>
      </c>
      <c r="H1317" t="s">
        <v>26</v>
      </c>
      <c r="I1317">
        <v>2</v>
      </c>
      <c r="J1317" t="s">
        <v>47</v>
      </c>
      <c r="K1317" t="s">
        <v>45</v>
      </c>
      <c r="L1317" t="s">
        <v>45</v>
      </c>
      <c r="M1317" t="s">
        <v>68</v>
      </c>
      <c r="N1317" s="15">
        <v>162.72999999999999</v>
      </c>
      <c r="O1317" s="16">
        <v>21.3</v>
      </c>
      <c r="P1317">
        <v>1</v>
      </c>
    </row>
    <row r="1318" spans="1:16" x14ac:dyDescent="0.3">
      <c r="A1318" t="s">
        <v>60</v>
      </c>
      <c r="B1318" t="s">
        <v>21</v>
      </c>
      <c r="C1318" t="s">
        <v>62</v>
      </c>
      <c r="D1318" t="s">
        <v>14</v>
      </c>
      <c r="E1318" t="s">
        <v>77</v>
      </c>
      <c r="F1318" t="s">
        <v>9</v>
      </c>
      <c r="G1318" s="15">
        <v>74.069999999999993</v>
      </c>
      <c r="H1318" t="s">
        <v>26</v>
      </c>
      <c r="I1318">
        <v>2</v>
      </c>
      <c r="J1318" t="s">
        <v>48</v>
      </c>
      <c r="K1318" t="s">
        <v>45</v>
      </c>
      <c r="L1318" t="s">
        <v>45</v>
      </c>
      <c r="M1318" t="s">
        <v>64</v>
      </c>
      <c r="N1318" s="15">
        <v>67.13</v>
      </c>
      <c r="O1318" s="16">
        <v>10.3</v>
      </c>
      <c r="P1318">
        <v>0</v>
      </c>
    </row>
    <row r="1319" spans="1:16" x14ac:dyDescent="0.3">
      <c r="A1319" t="s">
        <v>60</v>
      </c>
      <c r="B1319" t="s">
        <v>19</v>
      </c>
      <c r="C1319" t="s">
        <v>19</v>
      </c>
      <c r="D1319" t="s">
        <v>11</v>
      </c>
      <c r="E1319" t="s">
        <v>79</v>
      </c>
      <c r="F1319" t="s">
        <v>9</v>
      </c>
      <c r="G1319" s="15">
        <v>27.27</v>
      </c>
      <c r="H1319" t="s">
        <v>26</v>
      </c>
      <c r="I1319">
        <v>2</v>
      </c>
      <c r="J1319" t="s">
        <v>48</v>
      </c>
      <c r="K1319" t="s">
        <v>46</v>
      </c>
      <c r="L1319" t="s">
        <v>45</v>
      </c>
      <c r="M1319" t="s">
        <v>61</v>
      </c>
      <c r="N1319" s="15">
        <v>29.14</v>
      </c>
      <c r="O1319" s="16">
        <v>-6.4</v>
      </c>
      <c r="P1319">
        <v>0</v>
      </c>
    </row>
    <row r="1320" spans="1:16" x14ac:dyDescent="0.3">
      <c r="A1320" t="s">
        <v>65</v>
      </c>
      <c r="B1320" t="s">
        <v>18</v>
      </c>
      <c r="C1320" t="s">
        <v>18</v>
      </c>
      <c r="D1320" t="s">
        <v>15</v>
      </c>
      <c r="E1320" t="s">
        <v>76</v>
      </c>
      <c r="F1320" t="s">
        <v>9</v>
      </c>
      <c r="G1320" s="15">
        <v>109.22</v>
      </c>
      <c r="H1320" t="s">
        <v>26</v>
      </c>
      <c r="I1320">
        <v>2</v>
      </c>
      <c r="J1320" t="s">
        <v>47</v>
      </c>
      <c r="K1320" t="s">
        <v>46</v>
      </c>
      <c r="L1320" t="s">
        <v>45</v>
      </c>
      <c r="M1320" t="s">
        <v>59</v>
      </c>
      <c r="N1320" s="15">
        <v>126.51</v>
      </c>
      <c r="O1320" s="16">
        <v>-13.7</v>
      </c>
      <c r="P1320">
        <v>0</v>
      </c>
    </row>
    <row r="1321" spans="1:16" x14ac:dyDescent="0.3">
      <c r="A1321" t="s">
        <v>60</v>
      </c>
      <c r="B1321" t="s">
        <v>20</v>
      </c>
      <c r="C1321" t="s">
        <v>20</v>
      </c>
      <c r="D1321" t="s">
        <v>12</v>
      </c>
      <c r="E1321" t="s">
        <v>66</v>
      </c>
      <c r="F1321" t="s">
        <v>13</v>
      </c>
      <c r="G1321" s="15">
        <v>163.66999999999999</v>
      </c>
      <c r="H1321" t="s">
        <v>26</v>
      </c>
      <c r="I1321">
        <v>2</v>
      </c>
      <c r="J1321" t="s">
        <v>48</v>
      </c>
      <c r="K1321" t="s">
        <v>45</v>
      </c>
      <c r="L1321" t="s">
        <v>45</v>
      </c>
      <c r="M1321" t="s">
        <v>59</v>
      </c>
      <c r="N1321" s="15">
        <v>168.34</v>
      </c>
      <c r="O1321" s="16">
        <v>-2.8</v>
      </c>
      <c r="P1321">
        <v>0</v>
      </c>
    </row>
    <row r="1322" spans="1:16" x14ac:dyDescent="0.3">
      <c r="A1322" t="s">
        <v>65</v>
      </c>
      <c r="B1322" t="s">
        <v>21</v>
      </c>
      <c r="C1322" t="s">
        <v>62</v>
      </c>
      <c r="D1322" t="s">
        <v>12</v>
      </c>
      <c r="E1322" t="s">
        <v>80</v>
      </c>
      <c r="F1322" t="s">
        <v>13</v>
      </c>
      <c r="G1322" s="15">
        <v>176.56</v>
      </c>
      <c r="H1322" t="s">
        <v>25</v>
      </c>
      <c r="I1322">
        <v>1</v>
      </c>
      <c r="J1322" t="s">
        <v>48</v>
      </c>
      <c r="K1322" t="s">
        <v>45</v>
      </c>
      <c r="L1322" t="s">
        <v>45</v>
      </c>
      <c r="M1322" t="s">
        <v>78</v>
      </c>
      <c r="N1322" s="15">
        <v>176.57</v>
      </c>
      <c r="O1322" s="16">
        <v>0</v>
      </c>
      <c r="P1322">
        <v>0</v>
      </c>
    </row>
    <row r="1323" spans="1:16" x14ac:dyDescent="0.3">
      <c r="A1323" t="s">
        <v>57</v>
      </c>
      <c r="B1323" t="s">
        <v>18</v>
      </c>
      <c r="C1323" t="s">
        <v>18</v>
      </c>
      <c r="D1323" t="s">
        <v>10</v>
      </c>
      <c r="E1323" t="s">
        <v>58</v>
      </c>
      <c r="F1323" t="s">
        <v>9</v>
      </c>
      <c r="G1323" s="15">
        <v>148.1</v>
      </c>
      <c r="H1323" t="s">
        <v>26</v>
      </c>
      <c r="I1323">
        <v>2</v>
      </c>
      <c r="J1323" t="s">
        <v>48</v>
      </c>
      <c r="K1323" t="s">
        <v>45</v>
      </c>
      <c r="L1323" t="s">
        <v>45</v>
      </c>
      <c r="M1323" t="s">
        <v>61</v>
      </c>
      <c r="N1323" s="15">
        <v>151.19</v>
      </c>
      <c r="O1323" s="16">
        <v>-2</v>
      </c>
      <c r="P1323">
        <v>0</v>
      </c>
    </row>
    <row r="1324" spans="1:16" x14ac:dyDescent="0.3">
      <c r="A1324" t="s">
        <v>57</v>
      </c>
      <c r="B1324" t="s">
        <v>19</v>
      </c>
      <c r="C1324" t="s">
        <v>19</v>
      </c>
      <c r="D1324" t="s">
        <v>12</v>
      </c>
      <c r="E1324" t="s">
        <v>80</v>
      </c>
      <c r="F1324" t="s">
        <v>13</v>
      </c>
      <c r="G1324" s="15">
        <v>141.57</v>
      </c>
      <c r="H1324" t="s">
        <v>27</v>
      </c>
      <c r="I1324">
        <v>3</v>
      </c>
      <c r="J1324" t="s">
        <v>48</v>
      </c>
      <c r="K1324" t="s">
        <v>45</v>
      </c>
      <c r="L1324" t="s">
        <v>45</v>
      </c>
      <c r="M1324" t="s">
        <v>68</v>
      </c>
      <c r="N1324" s="15">
        <v>162.72999999999999</v>
      </c>
      <c r="O1324" s="16">
        <v>-13</v>
      </c>
      <c r="P1324">
        <v>0</v>
      </c>
    </row>
    <row r="1325" spans="1:16" x14ac:dyDescent="0.3">
      <c r="A1325" t="s">
        <v>57</v>
      </c>
      <c r="B1325" t="s">
        <v>19</v>
      </c>
      <c r="C1325" t="s">
        <v>19</v>
      </c>
      <c r="D1325" t="s">
        <v>15</v>
      </c>
      <c r="E1325" t="s">
        <v>76</v>
      </c>
      <c r="F1325" t="s">
        <v>9</v>
      </c>
      <c r="G1325" s="15">
        <v>116.29</v>
      </c>
      <c r="H1325" t="s">
        <v>26</v>
      </c>
      <c r="I1325">
        <v>2</v>
      </c>
      <c r="J1325" t="s">
        <v>48</v>
      </c>
      <c r="K1325" t="s">
        <v>45</v>
      </c>
      <c r="L1325" t="s">
        <v>45</v>
      </c>
      <c r="M1325" t="s">
        <v>72</v>
      </c>
      <c r="N1325" s="15">
        <v>118.59</v>
      </c>
      <c r="O1325" s="16">
        <v>-1.9</v>
      </c>
      <c r="P1325">
        <v>0</v>
      </c>
    </row>
    <row r="1326" spans="1:16" x14ac:dyDescent="0.3">
      <c r="A1326" t="s">
        <v>65</v>
      </c>
      <c r="B1326" t="s">
        <v>21</v>
      </c>
      <c r="C1326" t="s">
        <v>62</v>
      </c>
      <c r="D1326" t="s">
        <v>15</v>
      </c>
      <c r="E1326" t="s">
        <v>75</v>
      </c>
      <c r="F1326" t="s">
        <v>9</v>
      </c>
      <c r="G1326" s="15">
        <v>140</v>
      </c>
      <c r="H1326" t="s">
        <v>26</v>
      </c>
      <c r="I1326">
        <v>2</v>
      </c>
      <c r="J1326" t="s">
        <v>44</v>
      </c>
      <c r="K1326" t="s">
        <v>45</v>
      </c>
      <c r="L1326" t="s">
        <v>45</v>
      </c>
      <c r="M1326" t="s">
        <v>72</v>
      </c>
      <c r="N1326" s="15">
        <v>126.9</v>
      </c>
      <c r="O1326" s="16">
        <v>10.3</v>
      </c>
      <c r="P1326">
        <v>0</v>
      </c>
    </row>
    <row r="1327" spans="1:16" x14ac:dyDescent="0.3">
      <c r="A1327" t="s">
        <v>60</v>
      </c>
      <c r="B1327" t="s">
        <v>20</v>
      </c>
      <c r="C1327" t="s">
        <v>20</v>
      </c>
      <c r="D1327" t="s">
        <v>14</v>
      </c>
      <c r="E1327" t="s">
        <v>77</v>
      </c>
      <c r="F1327" t="s">
        <v>9</v>
      </c>
      <c r="G1327" s="15">
        <v>74.39</v>
      </c>
      <c r="H1327" t="s">
        <v>26</v>
      </c>
      <c r="I1327">
        <v>2</v>
      </c>
      <c r="J1327" t="s">
        <v>47</v>
      </c>
      <c r="K1327" t="s">
        <v>45</v>
      </c>
      <c r="L1327" t="s">
        <v>45</v>
      </c>
      <c r="M1327" t="s">
        <v>78</v>
      </c>
      <c r="N1327" s="15">
        <v>67.13</v>
      </c>
      <c r="O1327" s="16">
        <v>10.8</v>
      </c>
      <c r="P1327">
        <v>0</v>
      </c>
    </row>
    <row r="1328" spans="1:16" x14ac:dyDescent="0.3">
      <c r="A1328" t="s">
        <v>60</v>
      </c>
      <c r="B1328" t="s">
        <v>22</v>
      </c>
      <c r="C1328" t="s">
        <v>22</v>
      </c>
      <c r="D1328" t="s">
        <v>8</v>
      </c>
      <c r="E1328" t="s">
        <v>74</v>
      </c>
      <c r="F1328" t="s">
        <v>9</v>
      </c>
      <c r="G1328" s="15">
        <v>96.29</v>
      </c>
      <c r="H1328" t="s">
        <v>25</v>
      </c>
      <c r="I1328">
        <v>1</v>
      </c>
      <c r="J1328" t="s">
        <v>48</v>
      </c>
      <c r="K1328" t="s">
        <v>46</v>
      </c>
      <c r="L1328" t="s">
        <v>45</v>
      </c>
      <c r="M1328" t="s">
        <v>67</v>
      </c>
      <c r="N1328" s="15">
        <v>78.260000000000005</v>
      </c>
      <c r="O1328" s="16">
        <v>23</v>
      </c>
      <c r="P1328">
        <v>1</v>
      </c>
    </row>
    <row r="1329" spans="1:16" x14ac:dyDescent="0.3">
      <c r="A1329" t="s">
        <v>65</v>
      </c>
      <c r="B1329" t="s">
        <v>19</v>
      </c>
      <c r="C1329" t="s">
        <v>19</v>
      </c>
      <c r="D1329" t="s">
        <v>15</v>
      </c>
      <c r="E1329" t="s">
        <v>76</v>
      </c>
      <c r="F1329" t="s">
        <v>9</v>
      </c>
      <c r="G1329" s="15">
        <v>136.25</v>
      </c>
      <c r="H1329" t="s">
        <v>25</v>
      </c>
      <c r="I1329">
        <v>1</v>
      </c>
      <c r="J1329" t="s">
        <v>47</v>
      </c>
      <c r="K1329" t="s">
        <v>45</v>
      </c>
      <c r="L1329" t="s">
        <v>45</v>
      </c>
      <c r="M1329" t="s">
        <v>61</v>
      </c>
      <c r="N1329" s="15">
        <v>126.51</v>
      </c>
      <c r="O1329" s="16">
        <v>7.7</v>
      </c>
      <c r="P1329">
        <v>0</v>
      </c>
    </row>
    <row r="1330" spans="1:16" x14ac:dyDescent="0.3">
      <c r="A1330" t="s">
        <v>57</v>
      </c>
      <c r="B1330" t="s">
        <v>22</v>
      </c>
      <c r="C1330" t="s">
        <v>22</v>
      </c>
      <c r="D1330" t="s">
        <v>11</v>
      </c>
      <c r="E1330" t="s">
        <v>70</v>
      </c>
      <c r="F1330" t="s">
        <v>9</v>
      </c>
      <c r="G1330" s="15">
        <v>40</v>
      </c>
      <c r="H1330" t="s">
        <v>25</v>
      </c>
      <c r="I1330">
        <v>1</v>
      </c>
      <c r="J1330" t="s">
        <v>47</v>
      </c>
      <c r="K1330" t="s">
        <v>45</v>
      </c>
      <c r="L1330" t="s">
        <v>46</v>
      </c>
      <c r="M1330" t="s">
        <v>67</v>
      </c>
      <c r="N1330" s="15">
        <v>30.5</v>
      </c>
      <c r="O1330" s="16">
        <v>31.1</v>
      </c>
      <c r="P1330">
        <v>1</v>
      </c>
    </row>
    <row r="1331" spans="1:16" x14ac:dyDescent="0.3">
      <c r="A1331" t="s">
        <v>65</v>
      </c>
      <c r="B1331" t="s">
        <v>19</v>
      </c>
      <c r="C1331" t="s">
        <v>19</v>
      </c>
      <c r="D1331" t="s">
        <v>14</v>
      </c>
      <c r="E1331" t="s">
        <v>77</v>
      </c>
      <c r="F1331" t="s">
        <v>9</v>
      </c>
      <c r="G1331" s="15">
        <v>72.790000000000006</v>
      </c>
      <c r="H1331" t="s">
        <v>26</v>
      </c>
      <c r="I1331">
        <v>2</v>
      </c>
      <c r="J1331" t="s">
        <v>48</v>
      </c>
      <c r="K1331" t="s">
        <v>45</v>
      </c>
      <c r="L1331" t="s">
        <v>45</v>
      </c>
      <c r="M1331" t="s">
        <v>61</v>
      </c>
      <c r="N1331" s="15">
        <v>70.66</v>
      </c>
      <c r="O1331" s="16">
        <v>3</v>
      </c>
      <c r="P1331">
        <v>0</v>
      </c>
    </row>
    <row r="1332" spans="1:16" x14ac:dyDescent="0.3">
      <c r="A1332" t="s">
        <v>65</v>
      </c>
      <c r="B1332" t="s">
        <v>20</v>
      </c>
      <c r="C1332" t="s">
        <v>20</v>
      </c>
      <c r="D1332" t="s">
        <v>12</v>
      </c>
      <c r="E1332" t="s">
        <v>80</v>
      </c>
      <c r="F1332" t="s">
        <v>13</v>
      </c>
      <c r="G1332" s="15">
        <v>197.52</v>
      </c>
      <c r="H1332" t="s">
        <v>25</v>
      </c>
      <c r="I1332">
        <v>1</v>
      </c>
      <c r="J1332" t="s">
        <v>47</v>
      </c>
      <c r="K1332" t="s">
        <v>45</v>
      </c>
      <c r="L1332" t="s">
        <v>45</v>
      </c>
      <c r="M1332" t="s">
        <v>64</v>
      </c>
      <c r="N1332" s="15">
        <v>176.57</v>
      </c>
      <c r="O1332" s="16">
        <v>11.9</v>
      </c>
      <c r="P1332">
        <v>0</v>
      </c>
    </row>
    <row r="1333" spans="1:16" x14ac:dyDescent="0.3">
      <c r="A1333" t="s">
        <v>57</v>
      </c>
      <c r="B1333" t="s">
        <v>21</v>
      </c>
      <c r="C1333" t="s">
        <v>62</v>
      </c>
      <c r="D1333" t="s">
        <v>10</v>
      </c>
      <c r="E1333" t="s">
        <v>69</v>
      </c>
      <c r="F1333" t="s">
        <v>9</v>
      </c>
      <c r="G1333" s="15">
        <v>136.04</v>
      </c>
      <c r="H1333" t="s">
        <v>27</v>
      </c>
      <c r="I1333">
        <v>3</v>
      </c>
      <c r="J1333" t="s">
        <v>48</v>
      </c>
      <c r="K1333" t="s">
        <v>46</v>
      </c>
      <c r="L1333" t="s">
        <v>46</v>
      </c>
      <c r="M1333" t="s">
        <v>59</v>
      </c>
      <c r="N1333" s="15">
        <v>150.38999999999999</v>
      </c>
      <c r="O1333" s="16">
        <v>-9.5</v>
      </c>
      <c r="P1333">
        <v>0</v>
      </c>
    </row>
    <row r="1334" spans="1:16" x14ac:dyDescent="0.3">
      <c r="A1334" t="s">
        <v>57</v>
      </c>
      <c r="B1334" t="s">
        <v>17</v>
      </c>
      <c r="C1334" t="s">
        <v>17</v>
      </c>
      <c r="D1334" t="s">
        <v>14</v>
      </c>
      <c r="E1334" t="s">
        <v>77</v>
      </c>
      <c r="F1334" t="s">
        <v>9</v>
      </c>
      <c r="G1334" s="15">
        <v>64.900000000000006</v>
      </c>
      <c r="H1334" t="s">
        <v>27</v>
      </c>
      <c r="I1334">
        <v>3</v>
      </c>
      <c r="J1334" t="s">
        <v>47</v>
      </c>
      <c r="K1334" t="s">
        <v>46</v>
      </c>
      <c r="L1334" t="s">
        <v>45</v>
      </c>
      <c r="M1334" t="s">
        <v>78</v>
      </c>
      <c r="N1334" s="15">
        <v>65.97</v>
      </c>
      <c r="O1334" s="16">
        <v>-1.6</v>
      </c>
      <c r="P1334">
        <v>0</v>
      </c>
    </row>
    <row r="1335" spans="1:16" x14ac:dyDescent="0.3">
      <c r="A1335" t="s">
        <v>60</v>
      </c>
      <c r="B1335" t="s">
        <v>17</v>
      </c>
      <c r="C1335" t="s">
        <v>17</v>
      </c>
      <c r="D1335" t="s">
        <v>10</v>
      </c>
      <c r="E1335" t="s">
        <v>58</v>
      </c>
      <c r="F1335" t="s">
        <v>9</v>
      </c>
      <c r="G1335" s="15">
        <v>142.41</v>
      </c>
      <c r="H1335" t="s">
        <v>25</v>
      </c>
      <c r="I1335">
        <v>1</v>
      </c>
      <c r="J1335" t="s">
        <v>48</v>
      </c>
      <c r="K1335" t="s">
        <v>46</v>
      </c>
      <c r="L1335" t="s">
        <v>45</v>
      </c>
      <c r="M1335" t="s">
        <v>68</v>
      </c>
      <c r="N1335" s="15">
        <v>152.03</v>
      </c>
      <c r="O1335" s="16">
        <v>-6.3</v>
      </c>
      <c r="P1335">
        <v>0</v>
      </c>
    </row>
    <row r="1336" spans="1:16" x14ac:dyDescent="0.3">
      <c r="A1336" t="s">
        <v>57</v>
      </c>
      <c r="B1336" t="s">
        <v>19</v>
      </c>
      <c r="C1336" t="s">
        <v>19</v>
      </c>
      <c r="D1336" t="s">
        <v>14</v>
      </c>
      <c r="E1336" t="s">
        <v>77</v>
      </c>
      <c r="F1336" t="s">
        <v>9</v>
      </c>
      <c r="G1336" s="15">
        <v>74.17</v>
      </c>
      <c r="H1336" t="s">
        <v>26</v>
      </c>
      <c r="I1336">
        <v>2</v>
      </c>
      <c r="J1336" t="s">
        <v>47</v>
      </c>
      <c r="K1336" t="s">
        <v>46</v>
      </c>
      <c r="L1336" t="s">
        <v>45</v>
      </c>
      <c r="M1336" t="s">
        <v>68</v>
      </c>
      <c r="N1336" s="15">
        <v>65.97</v>
      </c>
      <c r="O1336" s="16">
        <v>12.4</v>
      </c>
      <c r="P1336">
        <v>0</v>
      </c>
    </row>
    <row r="1337" spans="1:16" x14ac:dyDescent="0.3">
      <c r="A1337" t="s">
        <v>60</v>
      </c>
      <c r="B1337" t="s">
        <v>20</v>
      </c>
      <c r="C1337" t="s">
        <v>20</v>
      </c>
      <c r="D1337" t="s">
        <v>12</v>
      </c>
      <c r="E1337" t="s">
        <v>80</v>
      </c>
      <c r="F1337" t="s">
        <v>13</v>
      </c>
      <c r="G1337" s="15">
        <v>160.29</v>
      </c>
      <c r="H1337" t="s">
        <v>26</v>
      </c>
      <c r="I1337">
        <v>2</v>
      </c>
      <c r="J1337" t="s">
        <v>48</v>
      </c>
      <c r="K1337" t="s">
        <v>46</v>
      </c>
      <c r="L1337" t="s">
        <v>46</v>
      </c>
      <c r="M1337" t="s">
        <v>64</v>
      </c>
      <c r="N1337" s="15">
        <v>167.63</v>
      </c>
      <c r="O1337" s="16">
        <v>-4.4000000000000004</v>
      </c>
      <c r="P1337">
        <v>0</v>
      </c>
    </row>
    <row r="1338" spans="1:16" x14ac:dyDescent="0.3">
      <c r="A1338" t="s">
        <v>65</v>
      </c>
      <c r="B1338" t="s">
        <v>19</v>
      </c>
      <c r="C1338" t="s">
        <v>19</v>
      </c>
      <c r="D1338" t="s">
        <v>12</v>
      </c>
      <c r="E1338" t="s">
        <v>80</v>
      </c>
      <c r="F1338" t="s">
        <v>13</v>
      </c>
      <c r="G1338" s="15">
        <v>200</v>
      </c>
      <c r="H1338" t="s">
        <v>25</v>
      </c>
      <c r="I1338">
        <v>1</v>
      </c>
      <c r="J1338" t="s">
        <v>47</v>
      </c>
      <c r="K1338" t="s">
        <v>45</v>
      </c>
      <c r="L1338" t="s">
        <v>45</v>
      </c>
      <c r="M1338" t="s">
        <v>78</v>
      </c>
      <c r="N1338" s="15">
        <v>176.57</v>
      </c>
      <c r="O1338" s="16">
        <v>13.3</v>
      </c>
      <c r="P1338">
        <v>0</v>
      </c>
    </row>
    <row r="1339" spans="1:16" x14ac:dyDescent="0.3">
      <c r="A1339" t="s">
        <v>57</v>
      </c>
      <c r="B1339" t="s">
        <v>21</v>
      </c>
      <c r="C1339" t="s">
        <v>62</v>
      </c>
      <c r="D1339" t="s">
        <v>12</v>
      </c>
      <c r="E1339" t="s">
        <v>66</v>
      </c>
      <c r="F1339" t="s">
        <v>13</v>
      </c>
      <c r="G1339" s="15">
        <v>171.56</v>
      </c>
      <c r="H1339" t="s">
        <v>26</v>
      </c>
      <c r="I1339">
        <v>2</v>
      </c>
      <c r="J1339" t="s">
        <v>48</v>
      </c>
      <c r="K1339" t="s">
        <v>45</v>
      </c>
      <c r="L1339" t="s">
        <v>45</v>
      </c>
      <c r="M1339" t="s">
        <v>72</v>
      </c>
      <c r="N1339" s="15">
        <v>170.56</v>
      </c>
      <c r="O1339" s="16">
        <v>0.6</v>
      </c>
      <c r="P1339">
        <v>0</v>
      </c>
    </row>
    <row r="1340" spans="1:16" x14ac:dyDescent="0.3">
      <c r="A1340" t="s">
        <v>57</v>
      </c>
      <c r="B1340" t="s">
        <v>17</v>
      </c>
      <c r="C1340" t="s">
        <v>17</v>
      </c>
      <c r="D1340" t="s">
        <v>15</v>
      </c>
      <c r="E1340" t="s">
        <v>76</v>
      </c>
      <c r="F1340" t="s">
        <v>9</v>
      </c>
      <c r="G1340" s="15">
        <v>102.36</v>
      </c>
      <c r="H1340" t="s">
        <v>27</v>
      </c>
      <c r="I1340">
        <v>3</v>
      </c>
      <c r="J1340" t="s">
        <v>48</v>
      </c>
      <c r="K1340" t="s">
        <v>46</v>
      </c>
      <c r="L1340" t="s">
        <v>45</v>
      </c>
      <c r="M1340" t="s">
        <v>67</v>
      </c>
      <c r="N1340" s="15">
        <v>118.59</v>
      </c>
      <c r="O1340" s="16">
        <v>-13.7</v>
      </c>
      <c r="P1340">
        <v>0</v>
      </c>
    </row>
    <row r="1341" spans="1:16" x14ac:dyDescent="0.3">
      <c r="A1341" t="s">
        <v>57</v>
      </c>
      <c r="B1341" t="s">
        <v>18</v>
      </c>
      <c r="C1341" t="s">
        <v>18</v>
      </c>
      <c r="D1341" t="s">
        <v>14</v>
      </c>
      <c r="E1341" t="s">
        <v>77</v>
      </c>
      <c r="F1341" t="s">
        <v>9</v>
      </c>
      <c r="G1341" s="15">
        <v>64.91</v>
      </c>
      <c r="H1341" t="s">
        <v>26</v>
      </c>
      <c r="I1341">
        <v>2</v>
      </c>
      <c r="J1341" t="s">
        <v>47</v>
      </c>
      <c r="K1341" t="s">
        <v>46</v>
      </c>
      <c r="L1341" t="s">
        <v>45</v>
      </c>
      <c r="M1341" t="s">
        <v>67</v>
      </c>
      <c r="N1341" s="15">
        <v>65.97</v>
      </c>
      <c r="O1341" s="16">
        <v>-1.6</v>
      </c>
      <c r="P1341">
        <v>0</v>
      </c>
    </row>
    <row r="1342" spans="1:16" x14ac:dyDescent="0.3">
      <c r="A1342" t="s">
        <v>65</v>
      </c>
      <c r="B1342" t="s">
        <v>22</v>
      </c>
      <c r="C1342" t="s">
        <v>22</v>
      </c>
      <c r="D1342" t="s">
        <v>14</v>
      </c>
      <c r="E1342" t="s">
        <v>71</v>
      </c>
      <c r="F1342" t="s">
        <v>9</v>
      </c>
      <c r="G1342" s="15">
        <v>80</v>
      </c>
      <c r="H1342" t="s">
        <v>25</v>
      </c>
      <c r="I1342">
        <v>1</v>
      </c>
      <c r="J1342" t="s">
        <v>44</v>
      </c>
      <c r="K1342" t="s">
        <v>45</v>
      </c>
      <c r="L1342" t="s">
        <v>45</v>
      </c>
      <c r="M1342" t="s">
        <v>59</v>
      </c>
      <c r="N1342" s="15">
        <v>71.77</v>
      </c>
      <c r="O1342" s="16">
        <v>11.5</v>
      </c>
      <c r="P1342">
        <v>0</v>
      </c>
    </row>
    <row r="1343" spans="1:16" x14ac:dyDescent="0.3">
      <c r="A1343" t="s">
        <v>65</v>
      </c>
      <c r="B1343" t="s">
        <v>21</v>
      </c>
      <c r="C1343" t="s">
        <v>62</v>
      </c>
      <c r="D1343" t="s">
        <v>10</v>
      </c>
      <c r="E1343" t="s">
        <v>58</v>
      </c>
      <c r="F1343" t="s">
        <v>9</v>
      </c>
      <c r="G1343" s="15">
        <v>147.47</v>
      </c>
      <c r="H1343" t="s">
        <v>25</v>
      </c>
      <c r="I1343">
        <v>1</v>
      </c>
      <c r="J1343" t="s">
        <v>48</v>
      </c>
      <c r="K1343" t="s">
        <v>45</v>
      </c>
      <c r="L1343" t="s">
        <v>45</v>
      </c>
      <c r="M1343" t="s">
        <v>64</v>
      </c>
      <c r="N1343" s="15">
        <v>166.29</v>
      </c>
      <c r="O1343" s="16">
        <v>-11.3</v>
      </c>
      <c r="P1343">
        <v>0</v>
      </c>
    </row>
    <row r="1344" spans="1:16" x14ac:dyDescent="0.3">
      <c r="A1344" t="s">
        <v>60</v>
      </c>
      <c r="B1344" t="s">
        <v>18</v>
      </c>
      <c r="C1344" t="s">
        <v>18</v>
      </c>
      <c r="D1344" t="s">
        <v>14</v>
      </c>
      <c r="E1344" t="s">
        <v>71</v>
      </c>
      <c r="F1344" t="s">
        <v>9</v>
      </c>
      <c r="G1344" s="15">
        <v>69.39</v>
      </c>
      <c r="H1344" t="s">
        <v>27</v>
      </c>
      <c r="I1344">
        <v>3</v>
      </c>
      <c r="J1344" t="s">
        <v>48</v>
      </c>
      <c r="K1344" t="s">
        <v>45</v>
      </c>
      <c r="L1344" t="s">
        <v>45</v>
      </c>
      <c r="M1344" t="s">
        <v>67</v>
      </c>
      <c r="N1344" s="15">
        <v>65.239999999999995</v>
      </c>
      <c r="O1344" s="16">
        <v>6.4</v>
      </c>
      <c r="P1344">
        <v>0</v>
      </c>
    </row>
    <row r="1345" spans="1:16" x14ac:dyDescent="0.3">
      <c r="A1345" t="s">
        <v>65</v>
      </c>
      <c r="B1345" t="s">
        <v>19</v>
      </c>
      <c r="C1345" t="s">
        <v>19</v>
      </c>
      <c r="D1345" t="s">
        <v>8</v>
      </c>
      <c r="E1345" t="s">
        <v>73</v>
      </c>
      <c r="F1345" t="s">
        <v>9</v>
      </c>
      <c r="G1345" s="15">
        <v>101.65</v>
      </c>
      <c r="H1345" t="s">
        <v>26</v>
      </c>
      <c r="I1345">
        <v>2</v>
      </c>
      <c r="J1345" t="s">
        <v>47</v>
      </c>
      <c r="K1345" t="s">
        <v>45</v>
      </c>
      <c r="L1345" t="s">
        <v>46</v>
      </c>
      <c r="M1345" t="s">
        <v>68</v>
      </c>
      <c r="N1345" s="15">
        <v>88.05</v>
      </c>
      <c r="O1345" s="16">
        <v>15.4</v>
      </c>
      <c r="P1345">
        <v>1</v>
      </c>
    </row>
    <row r="1346" spans="1:16" x14ac:dyDescent="0.3">
      <c r="A1346" t="s">
        <v>57</v>
      </c>
      <c r="B1346" t="s">
        <v>17</v>
      </c>
      <c r="C1346" t="s">
        <v>17</v>
      </c>
      <c r="D1346" t="s">
        <v>8</v>
      </c>
      <c r="E1346" t="s">
        <v>74</v>
      </c>
      <c r="F1346" t="s">
        <v>9</v>
      </c>
      <c r="G1346" s="15">
        <v>100.66</v>
      </c>
      <c r="H1346" t="s">
        <v>27</v>
      </c>
      <c r="I1346">
        <v>3</v>
      </c>
      <c r="J1346" t="s">
        <v>47</v>
      </c>
      <c r="K1346" t="s">
        <v>45</v>
      </c>
      <c r="L1346" t="s">
        <v>45</v>
      </c>
      <c r="M1346" t="s">
        <v>64</v>
      </c>
      <c r="N1346" s="15">
        <v>83.41</v>
      </c>
      <c r="O1346" s="16">
        <v>20.7</v>
      </c>
      <c r="P1346">
        <v>1</v>
      </c>
    </row>
    <row r="1347" spans="1:16" x14ac:dyDescent="0.3">
      <c r="A1347" t="s">
        <v>65</v>
      </c>
      <c r="B1347" t="s">
        <v>19</v>
      </c>
      <c r="C1347" t="s">
        <v>19</v>
      </c>
      <c r="D1347" t="s">
        <v>15</v>
      </c>
      <c r="E1347" t="s">
        <v>75</v>
      </c>
      <c r="F1347" t="s">
        <v>9</v>
      </c>
      <c r="G1347" s="15">
        <v>126.05</v>
      </c>
      <c r="H1347" t="s">
        <v>26</v>
      </c>
      <c r="I1347">
        <v>2</v>
      </c>
      <c r="J1347" t="s">
        <v>48</v>
      </c>
      <c r="K1347" t="s">
        <v>45</v>
      </c>
      <c r="L1347" t="s">
        <v>45</v>
      </c>
      <c r="M1347" t="s">
        <v>78</v>
      </c>
      <c r="N1347" s="15">
        <v>126.9</v>
      </c>
      <c r="O1347" s="16">
        <v>-0.7</v>
      </c>
      <c r="P1347">
        <v>0</v>
      </c>
    </row>
    <row r="1348" spans="1:16" x14ac:dyDescent="0.3">
      <c r="A1348" t="s">
        <v>60</v>
      </c>
      <c r="B1348" t="s">
        <v>17</v>
      </c>
      <c r="C1348" t="s">
        <v>17</v>
      </c>
      <c r="D1348" t="s">
        <v>11</v>
      </c>
      <c r="E1348" t="s">
        <v>70</v>
      </c>
      <c r="F1348" t="s">
        <v>9</v>
      </c>
      <c r="G1348" s="15">
        <v>20</v>
      </c>
      <c r="H1348" t="s">
        <v>27</v>
      </c>
      <c r="I1348">
        <v>3</v>
      </c>
      <c r="J1348" t="s">
        <v>47</v>
      </c>
      <c r="K1348" t="s">
        <v>46</v>
      </c>
      <c r="L1348" t="s">
        <v>45</v>
      </c>
      <c r="M1348" t="s">
        <v>72</v>
      </c>
      <c r="N1348" s="15">
        <v>31.4</v>
      </c>
      <c r="O1348" s="16">
        <v>-36.299999999999997</v>
      </c>
      <c r="P1348">
        <v>0</v>
      </c>
    </row>
    <row r="1349" spans="1:16" x14ac:dyDescent="0.3">
      <c r="A1349" t="s">
        <v>57</v>
      </c>
      <c r="B1349" t="s">
        <v>18</v>
      </c>
      <c r="C1349" t="s">
        <v>18</v>
      </c>
      <c r="D1349" t="s">
        <v>15</v>
      </c>
      <c r="E1349" t="s">
        <v>75</v>
      </c>
      <c r="F1349" t="s">
        <v>9</v>
      </c>
      <c r="G1349" s="15">
        <v>99.03</v>
      </c>
      <c r="H1349" t="s">
        <v>26</v>
      </c>
      <c r="I1349">
        <v>2</v>
      </c>
      <c r="J1349" t="s">
        <v>47</v>
      </c>
      <c r="K1349" t="s">
        <v>46</v>
      </c>
      <c r="L1349" t="s">
        <v>45</v>
      </c>
      <c r="M1349" t="s">
        <v>72</v>
      </c>
      <c r="N1349" s="15">
        <v>120.06</v>
      </c>
      <c r="O1349" s="16">
        <v>-17.5</v>
      </c>
      <c r="P1349">
        <v>0</v>
      </c>
    </row>
    <row r="1350" spans="1:16" x14ac:dyDescent="0.3">
      <c r="A1350" t="s">
        <v>57</v>
      </c>
      <c r="B1350" t="s">
        <v>22</v>
      </c>
      <c r="C1350" t="s">
        <v>22</v>
      </c>
      <c r="D1350" t="s">
        <v>12</v>
      </c>
      <c r="E1350" t="s">
        <v>80</v>
      </c>
      <c r="F1350" t="s">
        <v>13</v>
      </c>
      <c r="G1350" s="15">
        <v>138.37</v>
      </c>
      <c r="H1350" t="s">
        <v>27</v>
      </c>
      <c r="I1350">
        <v>3</v>
      </c>
      <c r="J1350" t="s">
        <v>48</v>
      </c>
      <c r="K1350" t="s">
        <v>46</v>
      </c>
      <c r="L1350" t="s">
        <v>45</v>
      </c>
      <c r="M1350" t="s">
        <v>64</v>
      </c>
      <c r="N1350" s="15">
        <v>162.72999999999999</v>
      </c>
      <c r="O1350" s="16">
        <v>-15</v>
      </c>
      <c r="P1350">
        <v>0</v>
      </c>
    </row>
    <row r="1351" spans="1:16" x14ac:dyDescent="0.3">
      <c r="A1351" t="s">
        <v>65</v>
      </c>
      <c r="B1351" t="s">
        <v>22</v>
      </c>
      <c r="C1351" t="s">
        <v>22</v>
      </c>
      <c r="D1351" t="s">
        <v>10</v>
      </c>
      <c r="E1351" t="s">
        <v>69</v>
      </c>
      <c r="F1351" t="s">
        <v>9</v>
      </c>
      <c r="G1351" s="15">
        <v>134.63</v>
      </c>
      <c r="H1351" t="s">
        <v>26</v>
      </c>
      <c r="I1351">
        <v>2</v>
      </c>
      <c r="J1351" t="s">
        <v>48</v>
      </c>
      <c r="K1351" t="s">
        <v>46</v>
      </c>
      <c r="L1351" t="s">
        <v>45</v>
      </c>
      <c r="M1351" t="s">
        <v>67</v>
      </c>
      <c r="N1351" s="15">
        <v>158.91999999999999</v>
      </c>
      <c r="O1351" s="16">
        <v>-15.3</v>
      </c>
      <c r="P1351">
        <v>0</v>
      </c>
    </row>
    <row r="1352" spans="1:16" x14ac:dyDescent="0.3">
      <c r="A1352" t="s">
        <v>60</v>
      </c>
      <c r="B1352" t="s">
        <v>20</v>
      </c>
      <c r="C1352" t="s">
        <v>20</v>
      </c>
      <c r="D1352" t="s">
        <v>12</v>
      </c>
      <c r="E1352" t="s">
        <v>80</v>
      </c>
      <c r="F1352" t="s">
        <v>13</v>
      </c>
      <c r="G1352" s="15">
        <v>191.77</v>
      </c>
      <c r="H1352" t="s">
        <v>26</v>
      </c>
      <c r="I1352">
        <v>2</v>
      </c>
      <c r="J1352" t="s">
        <v>47</v>
      </c>
      <c r="K1352" t="s">
        <v>45</v>
      </c>
      <c r="L1352" t="s">
        <v>45</v>
      </c>
      <c r="M1352" t="s">
        <v>78</v>
      </c>
      <c r="N1352" s="15">
        <v>167.63</v>
      </c>
      <c r="O1352" s="16">
        <v>14.4</v>
      </c>
      <c r="P1352">
        <v>0</v>
      </c>
    </row>
    <row r="1353" spans="1:16" x14ac:dyDescent="0.3">
      <c r="A1353" t="s">
        <v>57</v>
      </c>
      <c r="B1353" t="s">
        <v>21</v>
      </c>
      <c r="C1353" t="s">
        <v>62</v>
      </c>
      <c r="D1353" t="s">
        <v>11</v>
      </c>
      <c r="E1353" t="s">
        <v>79</v>
      </c>
      <c r="F1353" t="s">
        <v>9</v>
      </c>
      <c r="G1353" s="15">
        <v>30.99</v>
      </c>
      <c r="H1353" t="s">
        <v>25</v>
      </c>
      <c r="I1353">
        <v>1</v>
      </c>
      <c r="J1353" t="s">
        <v>47</v>
      </c>
      <c r="K1353" t="s">
        <v>46</v>
      </c>
      <c r="L1353" t="s">
        <v>45</v>
      </c>
      <c r="M1353" t="s">
        <v>78</v>
      </c>
      <c r="N1353" s="15">
        <v>30.93</v>
      </c>
      <c r="O1353" s="16">
        <v>0.2</v>
      </c>
      <c r="P1353">
        <v>0</v>
      </c>
    </row>
    <row r="1354" spans="1:16" x14ac:dyDescent="0.3">
      <c r="A1354" t="s">
        <v>65</v>
      </c>
      <c r="B1354" t="s">
        <v>19</v>
      </c>
      <c r="C1354" t="s">
        <v>19</v>
      </c>
      <c r="D1354" t="s">
        <v>12</v>
      </c>
      <c r="E1354" t="s">
        <v>66</v>
      </c>
      <c r="F1354" t="s">
        <v>13</v>
      </c>
      <c r="G1354" s="15">
        <v>200</v>
      </c>
      <c r="H1354" t="s">
        <v>26</v>
      </c>
      <c r="I1354">
        <v>2</v>
      </c>
      <c r="J1354" t="s">
        <v>47</v>
      </c>
      <c r="K1354" t="s">
        <v>45</v>
      </c>
      <c r="L1354" t="s">
        <v>46</v>
      </c>
      <c r="M1354" t="s">
        <v>68</v>
      </c>
      <c r="N1354" s="15">
        <v>178.49</v>
      </c>
      <c r="O1354" s="16">
        <v>12.1</v>
      </c>
      <c r="P1354">
        <v>0</v>
      </c>
    </row>
    <row r="1355" spans="1:16" x14ac:dyDescent="0.3">
      <c r="A1355" t="s">
        <v>65</v>
      </c>
      <c r="B1355" t="s">
        <v>20</v>
      </c>
      <c r="C1355" t="s">
        <v>20</v>
      </c>
      <c r="D1355" t="s">
        <v>11</v>
      </c>
      <c r="E1355" t="s">
        <v>70</v>
      </c>
      <c r="F1355" t="s">
        <v>9</v>
      </c>
      <c r="G1355" s="15">
        <v>25.05</v>
      </c>
      <c r="H1355" t="s">
        <v>27</v>
      </c>
      <c r="I1355">
        <v>3</v>
      </c>
      <c r="J1355" t="s">
        <v>48</v>
      </c>
      <c r="K1355" t="s">
        <v>46</v>
      </c>
      <c r="L1355" t="s">
        <v>45</v>
      </c>
      <c r="M1355" t="s">
        <v>59</v>
      </c>
      <c r="N1355" s="15">
        <v>32.630000000000003</v>
      </c>
      <c r="O1355" s="16">
        <v>-23.2</v>
      </c>
      <c r="P1355">
        <v>0</v>
      </c>
    </row>
    <row r="1356" spans="1:16" x14ac:dyDescent="0.3">
      <c r="A1356" t="s">
        <v>65</v>
      </c>
      <c r="B1356" t="s">
        <v>18</v>
      </c>
      <c r="C1356" t="s">
        <v>18</v>
      </c>
      <c r="D1356" t="s">
        <v>15</v>
      </c>
      <c r="E1356" t="s">
        <v>75</v>
      </c>
      <c r="F1356" t="s">
        <v>9</v>
      </c>
      <c r="G1356" s="15">
        <v>100.05</v>
      </c>
      <c r="H1356" t="s">
        <v>26</v>
      </c>
      <c r="I1356">
        <v>2</v>
      </c>
      <c r="J1356" t="s">
        <v>48</v>
      </c>
      <c r="K1356" t="s">
        <v>46</v>
      </c>
      <c r="L1356" t="s">
        <v>45</v>
      </c>
      <c r="M1356" t="s">
        <v>64</v>
      </c>
      <c r="N1356" s="15">
        <v>126.9</v>
      </c>
      <c r="O1356" s="16">
        <v>-21.2</v>
      </c>
      <c r="P1356">
        <v>0</v>
      </c>
    </row>
    <row r="1357" spans="1:16" x14ac:dyDescent="0.3">
      <c r="A1357" t="s">
        <v>65</v>
      </c>
      <c r="B1357" t="s">
        <v>17</v>
      </c>
      <c r="C1357" t="s">
        <v>17</v>
      </c>
      <c r="D1357" t="s">
        <v>14</v>
      </c>
      <c r="E1357" t="s">
        <v>71</v>
      </c>
      <c r="F1357" t="s">
        <v>9</v>
      </c>
      <c r="G1357" s="15">
        <v>67.459999999999994</v>
      </c>
      <c r="H1357" t="s">
        <v>27</v>
      </c>
      <c r="I1357">
        <v>3</v>
      </c>
      <c r="J1357" t="s">
        <v>48</v>
      </c>
      <c r="K1357" t="s">
        <v>45</v>
      </c>
      <c r="L1357" t="s">
        <v>46</v>
      </c>
      <c r="M1357" t="s">
        <v>72</v>
      </c>
      <c r="N1357" s="15">
        <v>71.77</v>
      </c>
      <c r="O1357" s="16">
        <v>-6</v>
      </c>
      <c r="P1357">
        <v>0</v>
      </c>
    </row>
    <row r="1358" spans="1:16" x14ac:dyDescent="0.3">
      <c r="A1358" t="s">
        <v>65</v>
      </c>
      <c r="B1358" t="s">
        <v>18</v>
      </c>
      <c r="C1358" t="s">
        <v>18</v>
      </c>
      <c r="D1358" t="s">
        <v>15</v>
      </c>
      <c r="E1358" t="s">
        <v>75</v>
      </c>
      <c r="F1358" t="s">
        <v>9</v>
      </c>
      <c r="G1358" s="15">
        <v>121.63</v>
      </c>
      <c r="H1358" t="s">
        <v>26</v>
      </c>
      <c r="I1358">
        <v>2</v>
      </c>
      <c r="J1358" t="s">
        <v>48</v>
      </c>
      <c r="K1358" t="s">
        <v>45</v>
      </c>
      <c r="L1358" t="s">
        <v>45</v>
      </c>
      <c r="M1358" t="s">
        <v>78</v>
      </c>
      <c r="N1358" s="15">
        <v>126.9</v>
      </c>
      <c r="O1358" s="16">
        <v>-4.2</v>
      </c>
      <c r="P1358">
        <v>0</v>
      </c>
    </row>
    <row r="1359" spans="1:16" x14ac:dyDescent="0.3">
      <c r="A1359" t="s">
        <v>65</v>
      </c>
      <c r="B1359" t="s">
        <v>21</v>
      </c>
      <c r="C1359" t="s">
        <v>62</v>
      </c>
      <c r="D1359" t="s">
        <v>12</v>
      </c>
      <c r="E1359" t="s">
        <v>66</v>
      </c>
      <c r="F1359" t="s">
        <v>13</v>
      </c>
      <c r="G1359" s="15">
        <v>188.16</v>
      </c>
      <c r="H1359" t="s">
        <v>26</v>
      </c>
      <c r="I1359">
        <v>2</v>
      </c>
      <c r="J1359" t="s">
        <v>48</v>
      </c>
      <c r="K1359" t="s">
        <v>45</v>
      </c>
      <c r="L1359" t="s">
        <v>45</v>
      </c>
      <c r="M1359" t="s">
        <v>67</v>
      </c>
      <c r="N1359" s="15">
        <v>178.49</v>
      </c>
      <c r="O1359" s="16">
        <v>5.4</v>
      </c>
      <c r="P1359">
        <v>0</v>
      </c>
    </row>
    <row r="1360" spans="1:16" x14ac:dyDescent="0.3">
      <c r="A1360" t="s">
        <v>65</v>
      </c>
      <c r="B1360" t="s">
        <v>17</v>
      </c>
      <c r="C1360" t="s">
        <v>17</v>
      </c>
      <c r="D1360" t="s">
        <v>8</v>
      </c>
      <c r="E1360" t="s">
        <v>73</v>
      </c>
      <c r="F1360" t="s">
        <v>9</v>
      </c>
      <c r="G1360" s="15">
        <v>98.19</v>
      </c>
      <c r="H1360" t="s">
        <v>25</v>
      </c>
      <c r="I1360">
        <v>1</v>
      </c>
      <c r="J1360" t="s">
        <v>44</v>
      </c>
      <c r="K1360" t="s">
        <v>45</v>
      </c>
      <c r="L1360" t="s">
        <v>46</v>
      </c>
      <c r="M1360" t="s">
        <v>67</v>
      </c>
      <c r="N1360" s="15">
        <v>88.05</v>
      </c>
      <c r="O1360" s="16">
        <v>11.5</v>
      </c>
      <c r="P1360">
        <v>0</v>
      </c>
    </row>
    <row r="1361" spans="1:16" x14ac:dyDescent="0.3">
      <c r="A1361" t="s">
        <v>57</v>
      </c>
      <c r="B1361" t="s">
        <v>19</v>
      </c>
      <c r="C1361" t="s">
        <v>19</v>
      </c>
      <c r="D1361" t="s">
        <v>14</v>
      </c>
      <c r="E1361" t="s">
        <v>63</v>
      </c>
      <c r="F1361" t="s">
        <v>9</v>
      </c>
      <c r="G1361" s="15">
        <v>65.41</v>
      </c>
      <c r="H1361" t="s">
        <v>25</v>
      </c>
      <c r="I1361">
        <v>1</v>
      </c>
      <c r="J1361" t="s">
        <v>48</v>
      </c>
      <c r="K1361" t="s">
        <v>46</v>
      </c>
      <c r="L1361" t="s">
        <v>45</v>
      </c>
      <c r="M1361" t="s">
        <v>68</v>
      </c>
      <c r="N1361" s="15">
        <v>65.16</v>
      </c>
      <c r="O1361" s="16">
        <v>0.4</v>
      </c>
      <c r="P1361">
        <v>0</v>
      </c>
    </row>
    <row r="1362" spans="1:16" x14ac:dyDescent="0.3">
      <c r="A1362" t="s">
        <v>65</v>
      </c>
      <c r="B1362" t="s">
        <v>19</v>
      </c>
      <c r="C1362" t="s">
        <v>19</v>
      </c>
      <c r="D1362" t="s">
        <v>8</v>
      </c>
      <c r="E1362" t="s">
        <v>74</v>
      </c>
      <c r="F1362" t="s">
        <v>9</v>
      </c>
      <c r="G1362" s="15">
        <v>88.26</v>
      </c>
      <c r="H1362" t="s">
        <v>26</v>
      </c>
      <c r="I1362">
        <v>2</v>
      </c>
      <c r="J1362" t="s">
        <v>44</v>
      </c>
      <c r="K1362" t="s">
        <v>46</v>
      </c>
      <c r="L1362" t="s">
        <v>45</v>
      </c>
      <c r="M1362" t="s">
        <v>59</v>
      </c>
      <c r="N1362" s="15">
        <v>91.13</v>
      </c>
      <c r="O1362" s="16">
        <v>-3.1</v>
      </c>
      <c r="P1362">
        <v>0</v>
      </c>
    </row>
    <row r="1363" spans="1:16" x14ac:dyDescent="0.3">
      <c r="A1363" t="s">
        <v>57</v>
      </c>
      <c r="B1363" t="s">
        <v>19</v>
      </c>
      <c r="C1363" t="s">
        <v>19</v>
      </c>
      <c r="D1363" t="s">
        <v>14</v>
      </c>
      <c r="E1363" t="s">
        <v>71</v>
      </c>
      <c r="F1363" t="s">
        <v>9</v>
      </c>
      <c r="G1363" s="15">
        <v>66.819999999999993</v>
      </c>
      <c r="H1363" t="s">
        <v>26</v>
      </c>
      <c r="I1363">
        <v>2</v>
      </c>
      <c r="J1363" t="s">
        <v>47</v>
      </c>
      <c r="K1363" t="s">
        <v>45</v>
      </c>
      <c r="L1363" t="s">
        <v>45</v>
      </c>
      <c r="M1363" t="s">
        <v>67</v>
      </c>
      <c r="N1363" s="15">
        <v>65.77</v>
      </c>
      <c r="O1363" s="16">
        <v>1.6</v>
      </c>
      <c r="P1363">
        <v>0</v>
      </c>
    </row>
    <row r="1364" spans="1:16" x14ac:dyDescent="0.3">
      <c r="A1364" t="s">
        <v>60</v>
      </c>
      <c r="B1364" t="s">
        <v>19</v>
      </c>
      <c r="C1364" t="s">
        <v>19</v>
      </c>
      <c r="D1364" t="s">
        <v>12</v>
      </c>
      <c r="E1364" t="s">
        <v>80</v>
      </c>
      <c r="F1364" t="s">
        <v>13</v>
      </c>
      <c r="G1364" s="15">
        <v>192.49</v>
      </c>
      <c r="H1364" t="s">
        <v>25</v>
      </c>
      <c r="I1364">
        <v>1</v>
      </c>
      <c r="J1364" t="s">
        <v>47</v>
      </c>
      <c r="K1364" t="s">
        <v>45</v>
      </c>
      <c r="L1364" t="s">
        <v>45</v>
      </c>
      <c r="M1364" t="s">
        <v>72</v>
      </c>
      <c r="N1364" s="15">
        <v>167.63</v>
      </c>
      <c r="O1364" s="16">
        <v>14.8</v>
      </c>
      <c r="P1364">
        <v>0</v>
      </c>
    </row>
    <row r="1365" spans="1:16" x14ac:dyDescent="0.3">
      <c r="A1365" t="s">
        <v>60</v>
      </c>
      <c r="B1365" t="s">
        <v>21</v>
      </c>
      <c r="C1365" t="s">
        <v>62</v>
      </c>
      <c r="D1365" t="s">
        <v>8</v>
      </c>
      <c r="E1365" t="s">
        <v>74</v>
      </c>
      <c r="F1365" t="s">
        <v>9</v>
      </c>
      <c r="G1365" s="15">
        <v>76.55</v>
      </c>
      <c r="H1365" t="s">
        <v>25</v>
      </c>
      <c r="I1365">
        <v>1</v>
      </c>
      <c r="J1365" t="s">
        <v>48</v>
      </c>
      <c r="K1365" t="s">
        <v>46</v>
      </c>
      <c r="L1365" t="s">
        <v>45</v>
      </c>
      <c r="M1365" t="s">
        <v>64</v>
      </c>
      <c r="N1365" s="15">
        <v>78.260000000000005</v>
      </c>
      <c r="O1365" s="16">
        <v>-2.2000000000000002</v>
      </c>
      <c r="P1365">
        <v>0</v>
      </c>
    </row>
    <row r="1366" spans="1:16" x14ac:dyDescent="0.3">
      <c r="A1366" t="s">
        <v>65</v>
      </c>
      <c r="B1366" t="s">
        <v>19</v>
      </c>
      <c r="C1366" t="s">
        <v>19</v>
      </c>
      <c r="D1366" t="s">
        <v>8</v>
      </c>
      <c r="E1366" t="s">
        <v>73</v>
      </c>
      <c r="F1366" t="s">
        <v>9</v>
      </c>
      <c r="G1366" s="15">
        <v>102.08</v>
      </c>
      <c r="H1366" t="s">
        <v>26</v>
      </c>
      <c r="I1366">
        <v>2</v>
      </c>
      <c r="J1366" t="s">
        <v>47</v>
      </c>
      <c r="K1366" t="s">
        <v>45</v>
      </c>
      <c r="L1366" t="s">
        <v>46</v>
      </c>
      <c r="M1366" t="s">
        <v>67</v>
      </c>
      <c r="N1366" s="15">
        <v>88.05</v>
      </c>
      <c r="O1366" s="16">
        <v>15.9</v>
      </c>
      <c r="P1366">
        <v>1</v>
      </c>
    </row>
    <row r="1367" spans="1:16" x14ac:dyDescent="0.3">
      <c r="A1367" t="s">
        <v>57</v>
      </c>
      <c r="B1367" t="s">
        <v>21</v>
      </c>
      <c r="C1367" t="s">
        <v>62</v>
      </c>
      <c r="D1367" t="s">
        <v>11</v>
      </c>
      <c r="E1367" t="s">
        <v>70</v>
      </c>
      <c r="F1367" t="s">
        <v>9</v>
      </c>
      <c r="G1367" s="15">
        <v>33.44</v>
      </c>
      <c r="H1367" t="s">
        <v>27</v>
      </c>
      <c r="I1367">
        <v>3</v>
      </c>
      <c r="J1367" t="s">
        <v>48</v>
      </c>
      <c r="K1367" t="s">
        <v>45</v>
      </c>
      <c r="L1367" t="s">
        <v>45</v>
      </c>
      <c r="M1367" t="s">
        <v>67</v>
      </c>
      <c r="N1367" s="15">
        <v>30.5</v>
      </c>
      <c r="O1367" s="16">
        <v>9.6</v>
      </c>
      <c r="P1367">
        <v>0</v>
      </c>
    </row>
    <row r="1368" spans="1:16" x14ac:dyDescent="0.3">
      <c r="A1368" t="s">
        <v>57</v>
      </c>
      <c r="B1368" t="s">
        <v>21</v>
      </c>
      <c r="C1368" t="s">
        <v>62</v>
      </c>
      <c r="D1368" t="s">
        <v>15</v>
      </c>
      <c r="E1368" t="s">
        <v>75</v>
      </c>
      <c r="F1368" t="s">
        <v>9</v>
      </c>
      <c r="G1368" s="15">
        <v>125.3</v>
      </c>
      <c r="H1368" t="s">
        <v>27</v>
      </c>
      <c r="I1368">
        <v>3</v>
      </c>
      <c r="J1368" t="s">
        <v>47</v>
      </c>
      <c r="K1368" t="s">
        <v>45</v>
      </c>
      <c r="L1368" t="s">
        <v>45</v>
      </c>
      <c r="M1368" t="s">
        <v>67</v>
      </c>
      <c r="N1368" s="15">
        <v>120.06</v>
      </c>
      <c r="O1368" s="16">
        <v>4.4000000000000004</v>
      </c>
      <c r="P1368">
        <v>0</v>
      </c>
    </row>
    <row r="1369" spans="1:16" x14ac:dyDescent="0.3">
      <c r="A1369" t="s">
        <v>65</v>
      </c>
      <c r="B1369" t="s">
        <v>17</v>
      </c>
      <c r="C1369" t="s">
        <v>17</v>
      </c>
      <c r="D1369" t="s">
        <v>12</v>
      </c>
      <c r="E1369" t="s">
        <v>80</v>
      </c>
      <c r="F1369" t="s">
        <v>13</v>
      </c>
      <c r="G1369" s="15">
        <v>200</v>
      </c>
      <c r="H1369" t="s">
        <v>25</v>
      </c>
      <c r="I1369">
        <v>1</v>
      </c>
      <c r="J1369" t="s">
        <v>47</v>
      </c>
      <c r="K1369" t="s">
        <v>45</v>
      </c>
      <c r="L1369" t="s">
        <v>45</v>
      </c>
      <c r="M1369" t="s">
        <v>72</v>
      </c>
      <c r="N1369" s="15">
        <v>176.57</v>
      </c>
      <c r="O1369" s="16">
        <v>13.3</v>
      </c>
      <c r="P1369">
        <v>0</v>
      </c>
    </row>
    <row r="1370" spans="1:16" x14ac:dyDescent="0.3">
      <c r="A1370" t="s">
        <v>65</v>
      </c>
      <c r="B1370" t="s">
        <v>19</v>
      </c>
      <c r="C1370" t="s">
        <v>19</v>
      </c>
      <c r="D1370" t="s">
        <v>8</v>
      </c>
      <c r="E1370" t="s">
        <v>73</v>
      </c>
      <c r="F1370" t="s">
        <v>9</v>
      </c>
      <c r="G1370" s="15">
        <v>115.23</v>
      </c>
      <c r="H1370" t="s">
        <v>26</v>
      </c>
      <c r="I1370">
        <v>2</v>
      </c>
      <c r="J1370" t="s">
        <v>47</v>
      </c>
      <c r="K1370" t="s">
        <v>45</v>
      </c>
      <c r="L1370" t="s">
        <v>45</v>
      </c>
      <c r="M1370" t="s">
        <v>72</v>
      </c>
      <c r="N1370" s="15">
        <v>88.05</v>
      </c>
      <c r="O1370" s="16">
        <v>30.9</v>
      </c>
      <c r="P1370">
        <v>1</v>
      </c>
    </row>
    <row r="1371" spans="1:16" x14ac:dyDescent="0.3">
      <c r="A1371" t="s">
        <v>65</v>
      </c>
      <c r="B1371" t="s">
        <v>22</v>
      </c>
      <c r="C1371" t="s">
        <v>22</v>
      </c>
      <c r="D1371" t="s">
        <v>14</v>
      </c>
      <c r="E1371" t="s">
        <v>71</v>
      </c>
      <c r="F1371" t="s">
        <v>9</v>
      </c>
      <c r="G1371" s="15">
        <v>80</v>
      </c>
      <c r="H1371" t="s">
        <v>26</v>
      </c>
      <c r="I1371">
        <v>2</v>
      </c>
      <c r="J1371" t="s">
        <v>47</v>
      </c>
      <c r="K1371" t="s">
        <v>45</v>
      </c>
      <c r="L1371" t="s">
        <v>45</v>
      </c>
      <c r="M1371" t="s">
        <v>59</v>
      </c>
      <c r="N1371" s="15">
        <v>71.77</v>
      </c>
      <c r="O1371" s="16">
        <v>11.5</v>
      </c>
      <c r="P1371">
        <v>0</v>
      </c>
    </row>
    <row r="1372" spans="1:16" x14ac:dyDescent="0.3">
      <c r="A1372" t="s">
        <v>57</v>
      </c>
      <c r="B1372" t="s">
        <v>21</v>
      </c>
      <c r="C1372" t="s">
        <v>62</v>
      </c>
      <c r="D1372" t="s">
        <v>14</v>
      </c>
      <c r="E1372" t="s">
        <v>63</v>
      </c>
      <c r="F1372" t="s">
        <v>9</v>
      </c>
      <c r="G1372" s="15">
        <v>51.25</v>
      </c>
      <c r="H1372" t="s">
        <v>26</v>
      </c>
      <c r="I1372">
        <v>2</v>
      </c>
      <c r="J1372" t="s">
        <v>48</v>
      </c>
      <c r="K1372" t="s">
        <v>46</v>
      </c>
      <c r="L1372" t="s">
        <v>45</v>
      </c>
      <c r="M1372" t="s">
        <v>61</v>
      </c>
      <c r="N1372" s="15">
        <v>65.16</v>
      </c>
      <c r="O1372" s="16">
        <v>-21.3</v>
      </c>
      <c r="P1372">
        <v>0</v>
      </c>
    </row>
    <row r="1373" spans="1:16" x14ac:dyDescent="0.3">
      <c r="A1373" t="s">
        <v>57</v>
      </c>
      <c r="B1373" t="s">
        <v>21</v>
      </c>
      <c r="C1373" t="s">
        <v>62</v>
      </c>
      <c r="D1373" t="s">
        <v>11</v>
      </c>
      <c r="E1373" t="s">
        <v>70</v>
      </c>
      <c r="F1373" t="s">
        <v>9</v>
      </c>
      <c r="G1373" s="15">
        <v>40</v>
      </c>
      <c r="H1373" t="s">
        <v>25</v>
      </c>
      <c r="I1373">
        <v>1</v>
      </c>
      <c r="J1373" t="s">
        <v>48</v>
      </c>
      <c r="K1373" t="s">
        <v>46</v>
      </c>
      <c r="L1373" t="s">
        <v>45</v>
      </c>
      <c r="M1373" t="s">
        <v>78</v>
      </c>
      <c r="N1373" s="15">
        <v>30.5</v>
      </c>
      <c r="O1373" s="16">
        <v>31.1</v>
      </c>
      <c r="P1373">
        <v>1</v>
      </c>
    </row>
    <row r="1374" spans="1:16" x14ac:dyDescent="0.3">
      <c r="A1374" t="s">
        <v>57</v>
      </c>
      <c r="B1374" t="s">
        <v>18</v>
      </c>
      <c r="C1374" t="s">
        <v>18</v>
      </c>
      <c r="D1374" t="s">
        <v>12</v>
      </c>
      <c r="E1374" t="s">
        <v>66</v>
      </c>
      <c r="F1374" t="s">
        <v>13</v>
      </c>
      <c r="G1374" s="15">
        <v>173.58</v>
      </c>
      <c r="H1374" t="s">
        <v>26</v>
      </c>
      <c r="I1374">
        <v>2</v>
      </c>
      <c r="J1374" t="s">
        <v>48</v>
      </c>
      <c r="K1374" t="s">
        <v>45</v>
      </c>
      <c r="L1374" t="s">
        <v>45</v>
      </c>
      <c r="M1374" t="s">
        <v>78</v>
      </c>
      <c r="N1374" s="15">
        <v>170.56</v>
      </c>
      <c r="O1374" s="16">
        <v>1.8</v>
      </c>
      <c r="P1374">
        <v>0</v>
      </c>
    </row>
    <row r="1375" spans="1:16" x14ac:dyDescent="0.3">
      <c r="A1375" t="s">
        <v>65</v>
      </c>
      <c r="B1375" t="s">
        <v>17</v>
      </c>
      <c r="C1375" t="s">
        <v>17</v>
      </c>
      <c r="D1375" t="s">
        <v>11</v>
      </c>
      <c r="E1375" t="s">
        <v>79</v>
      </c>
      <c r="F1375" t="s">
        <v>9</v>
      </c>
      <c r="G1375" s="15">
        <v>36.86</v>
      </c>
      <c r="H1375" t="s">
        <v>26</v>
      </c>
      <c r="I1375">
        <v>2</v>
      </c>
      <c r="J1375" t="s">
        <v>48</v>
      </c>
      <c r="K1375" t="s">
        <v>45</v>
      </c>
      <c r="L1375" t="s">
        <v>45</v>
      </c>
      <c r="M1375" t="s">
        <v>78</v>
      </c>
      <c r="N1375" s="15">
        <v>33.39</v>
      </c>
      <c r="O1375" s="16">
        <v>10.4</v>
      </c>
      <c r="P1375">
        <v>0</v>
      </c>
    </row>
    <row r="1376" spans="1:16" x14ac:dyDescent="0.3">
      <c r="A1376" t="s">
        <v>65</v>
      </c>
      <c r="B1376" t="s">
        <v>20</v>
      </c>
      <c r="C1376" t="s">
        <v>20</v>
      </c>
      <c r="D1376" t="s">
        <v>10</v>
      </c>
      <c r="E1376" t="s">
        <v>58</v>
      </c>
      <c r="F1376" t="s">
        <v>9</v>
      </c>
      <c r="G1376" s="15">
        <v>158.86000000000001</v>
      </c>
      <c r="H1376" t="s">
        <v>26</v>
      </c>
      <c r="I1376">
        <v>2</v>
      </c>
      <c r="J1376" t="s">
        <v>48</v>
      </c>
      <c r="K1376" t="s">
        <v>45</v>
      </c>
      <c r="L1376" t="s">
        <v>45</v>
      </c>
      <c r="M1376" t="s">
        <v>64</v>
      </c>
      <c r="N1376" s="15">
        <v>166.29</v>
      </c>
      <c r="O1376" s="16">
        <v>-4.5</v>
      </c>
      <c r="P1376">
        <v>0</v>
      </c>
    </row>
    <row r="1377" spans="1:16" x14ac:dyDescent="0.3">
      <c r="A1377" t="s">
        <v>57</v>
      </c>
      <c r="B1377" t="s">
        <v>17</v>
      </c>
      <c r="C1377" t="s">
        <v>17</v>
      </c>
      <c r="D1377" t="s">
        <v>10</v>
      </c>
      <c r="E1377" t="s">
        <v>69</v>
      </c>
      <c r="F1377" t="s">
        <v>9</v>
      </c>
      <c r="G1377" s="15">
        <v>137.28</v>
      </c>
      <c r="H1377" t="s">
        <v>25</v>
      </c>
      <c r="I1377">
        <v>1</v>
      </c>
      <c r="J1377" t="s">
        <v>47</v>
      </c>
      <c r="K1377" t="s">
        <v>46</v>
      </c>
      <c r="L1377" t="s">
        <v>45</v>
      </c>
      <c r="M1377" t="s">
        <v>68</v>
      </c>
      <c r="N1377" s="15">
        <v>150.38999999999999</v>
      </c>
      <c r="O1377" s="16">
        <v>-8.6999999999999993</v>
      </c>
      <c r="P1377">
        <v>0</v>
      </c>
    </row>
    <row r="1378" spans="1:16" x14ac:dyDescent="0.3">
      <c r="A1378" t="s">
        <v>65</v>
      </c>
      <c r="B1378" t="s">
        <v>21</v>
      </c>
      <c r="C1378" t="s">
        <v>62</v>
      </c>
      <c r="D1378" t="s">
        <v>10</v>
      </c>
      <c r="E1378" t="s">
        <v>69</v>
      </c>
      <c r="F1378" t="s">
        <v>9</v>
      </c>
      <c r="G1378" s="15">
        <v>176.94</v>
      </c>
      <c r="H1378" t="s">
        <v>25</v>
      </c>
      <c r="I1378">
        <v>1</v>
      </c>
      <c r="J1378" t="s">
        <v>47</v>
      </c>
      <c r="K1378" t="s">
        <v>46</v>
      </c>
      <c r="L1378" t="s">
        <v>46</v>
      </c>
      <c r="M1378" t="s">
        <v>68</v>
      </c>
      <c r="N1378" s="15">
        <v>158.91999999999999</v>
      </c>
      <c r="O1378" s="16">
        <v>11.3</v>
      </c>
      <c r="P1378">
        <v>0</v>
      </c>
    </row>
    <row r="1379" spans="1:16" x14ac:dyDescent="0.3">
      <c r="A1379" t="s">
        <v>65</v>
      </c>
      <c r="B1379" t="s">
        <v>22</v>
      </c>
      <c r="C1379" t="s">
        <v>22</v>
      </c>
      <c r="D1379" t="s">
        <v>12</v>
      </c>
      <c r="E1379" t="s">
        <v>66</v>
      </c>
      <c r="F1379" t="s">
        <v>13</v>
      </c>
      <c r="G1379" s="15">
        <v>170.69</v>
      </c>
      <c r="H1379" t="s">
        <v>26</v>
      </c>
      <c r="I1379">
        <v>2</v>
      </c>
      <c r="J1379" t="s">
        <v>44</v>
      </c>
      <c r="K1379" t="s">
        <v>46</v>
      </c>
      <c r="L1379" t="s">
        <v>46</v>
      </c>
      <c r="M1379" t="s">
        <v>59</v>
      </c>
      <c r="N1379" s="15">
        <v>178.49</v>
      </c>
      <c r="O1379" s="16">
        <v>-4.4000000000000004</v>
      </c>
      <c r="P1379">
        <v>0</v>
      </c>
    </row>
    <row r="1380" spans="1:16" x14ac:dyDescent="0.3">
      <c r="A1380" t="s">
        <v>57</v>
      </c>
      <c r="B1380" t="s">
        <v>19</v>
      </c>
      <c r="C1380" t="s">
        <v>19</v>
      </c>
      <c r="D1380" t="s">
        <v>11</v>
      </c>
      <c r="E1380" t="s">
        <v>70</v>
      </c>
      <c r="F1380" t="s">
        <v>9</v>
      </c>
      <c r="G1380" s="15">
        <v>35.58</v>
      </c>
      <c r="H1380" t="s">
        <v>26</v>
      </c>
      <c r="I1380">
        <v>2</v>
      </c>
      <c r="J1380" t="s">
        <v>48</v>
      </c>
      <c r="K1380" t="s">
        <v>45</v>
      </c>
      <c r="L1380" t="s">
        <v>45</v>
      </c>
      <c r="M1380" t="s">
        <v>78</v>
      </c>
      <c r="N1380" s="15">
        <v>30.5</v>
      </c>
      <c r="O1380" s="16">
        <v>16.7</v>
      </c>
      <c r="P1380">
        <v>1</v>
      </c>
    </row>
    <row r="1381" spans="1:16" x14ac:dyDescent="0.3">
      <c r="A1381" t="s">
        <v>60</v>
      </c>
      <c r="B1381" t="s">
        <v>19</v>
      </c>
      <c r="C1381" t="s">
        <v>19</v>
      </c>
      <c r="D1381" t="s">
        <v>8</v>
      </c>
      <c r="E1381" t="s">
        <v>73</v>
      </c>
      <c r="F1381" t="s">
        <v>9</v>
      </c>
      <c r="G1381" s="15">
        <v>66.92</v>
      </c>
      <c r="H1381" t="s">
        <v>25</v>
      </c>
      <c r="I1381">
        <v>1</v>
      </c>
      <c r="J1381" t="s">
        <v>48</v>
      </c>
      <c r="K1381" t="s">
        <v>46</v>
      </c>
      <c r="L1381" t="s">
        <v>45</v>
      </c>
      <c r="M1381" t="s">
        <v>67</v>
      </c>
      <c r="N1381" s="15">
        <v>82.04</v>
      </c>
      <c r="O1381" s="16">
        <v>-18.399999999999999</v>
      </c>
      <c r="P1381">
        <v>0</v>
      </c>
    </row>
    <row r="1382" spans="1:16" x14ac:dyDescent="0.3">
      <c r="A1382" t="s">
        <v>65</v>
      </c>
      <c r="B1382" t="s">
        <v>21</v>
      </c>
      <c r="C1382" t="s">
        <v>62</v>
      </c>
      <c r="D1382" t="s">
        <v>14</v>
      </c>
      <c r="E1382" t="s">
        <v>63</v>
      </c>
      <c r="F1382" t="s">
        <v>9</v>
      </c>
      <c r="G1382" s="15">
        <v>80</v>
      </c>
      <c r="H1382" t="s">
        <v>25</v>
      </c>
      <c r="I1382">
        <v>1</v>
      </c>
      <c r="J1382" t="s">
        <v>44</v>
      </c>
      <c r="K1382" t="s">
        <v>45</v>
      </c>
      <c r="L1382" t="s">
        <v>45</v>
      </c>
      <c r="M1382" t="s">
        <v>78</v>
      </c>
      <c r="N1382" s="15">
        <v>68.150000000000006</v>
      </c>
      <c r="O1382" s="16">
        <v>17.399999999999999</v>
      </c>
      <c r="P1382">
        <v>1</v>
      </c>
    </row>
    <row r="1383" spans="1:16" x14ac:dyDescent="0.3">
      <c r="A1383" t="s">
        <v>65</v>
      </c>
      <c r="B1383" t="s">
        <v>18</v>
      </c>
      <c r="C1383" t="s">
        <v>18</v>
      </c>
      <c r="D1383" t="s">
        <v>10</v>
      </c>
      <c r="E1383" t="s">
        <v>58</v>
      </c>
      <c r="F1383" t="s">
        <v>9</v>
      </c>
      <c r="G1383" s="15">
        <v>178.69</v>
      </c>
      <c r="H1383" t="s">
        <v>26</v>
      </c>
      <c r="I1383">
        <v>2</v>
      </c>
      <c r="J1383" t="s">
        <v>48</v>
      </c>
      <c r="K1383" t="s">
        <v>45</v>
      </c>
      <c r="L1383" t="s">
        <v>46</v>
      </c>
      <c r="M1383" t="s">
        <v>72</v>
      </c>
      <c r="N1383" s="15">
        <v>166.29</v>
      </c>
      <c r="O1383" s="16">
        <v>7.5</v>
      </c>
      <c r="P1383">
        <v>0</v>
      </c>
    </row>
    <row r="1384" spans="1:16" x14ac:dyDescent="0.3">
      <c r="A1384" t="s">
        <v>65</v>
      </c>
      <c r="B1384" t="s">
        <v>21</v>
      </c>
      <c r="C1384" t="s">
        <v>62</v>
      </c>
      <c r="D1384" t="s">
        <v>8</v>
      </c>
      <c r="E1384" t="s">
        <v>73</v>
      </c>
      <c r="F1384" t="s">
        <v>9</v>
      </c>
      <c r="G1384" s="15">
        <v>64.989999999999995</v>
      </c>
      <c r="H1384" t="s">
        <v>25</v>
      </c>
      <c r="I1384">
        <v>1</v>
      </c>
      <c r="J1384" t="s">
        <v>47</v>
      </c>
      <c r="K1384" t="s">
        <v>45</v>
      </c>
      <c r="L1384" t="s">
        <v>45</v>
      </c>
      <c r="M1384" t="s">
        <v>67</v>
      </c>
      <c r="N1384" s="15">
        <v>88.05</v>
      </c>
      <c r="O1384" s="16">
        <v>-26.2</v>
      </c>
      <c r="P1384">
        <v>0</v>
      </c>
    </row>
    <row r="1385" spans="1:16" x14ac:dyDescent="0.3">
      <c r="A1385" t="s">
        <v>60</v>
      </c>
      <c r="B1385" t="s">
        <v>22</v>
      </c>
      <c r="C1385" t="s">
        <v>22</v>
      </c>
      <c r="D1385" t="s">
        <v>8</v>
      </c>
      <c r="E1385" t="s">
        <v>74</v>
      </c>
      <c r="F1385" t="s">
        <v>9</v>
      </c>
      <c r="G1385" s="15">
        <v>64.61</v>
      </c>
      <c r="H1385" t="s">
        <v>26</v>
      </c>
      <c r="I1385">
        <v>2</v>
      </c>
      <c r="J1385" t="s">
        <v>48</v>
      </c>
      <c r="K1385" t="s">
        <v>46</v>
      </c>
      <c r="L1385" t="s">
        <v>45</v>
      </c>
      <c r="M1385" t="s">
        <v>61</v>
      </c>
      <c r="N1385" s="15">
        <v>78.260000000000005</v>
      </c>
      <c r="O1385" s="16">
        <v>-17.399999999999999</v>
      </c>
      <c r="P1385">
        <v>0</v>
      </c>
    </row>
    <row r="1386" spans="1:16" x14ac:dyDescent="0.3">
      <c r="A1386" t="s">
        <v>57</v>
      </c>
      <c r="B1386" t="s">
        <v>19</v>
      </c>
      <c r="C1386" t="s">
        <v>19</v>
      </c>
      <c r="D1386" t="s">
        <v>15</v>
      </c>
      <c r="E1386" t="s">
        <v>75</v>
      </c>
      <c r="F1386" t="s">
        <v>9</v>
      </c>
      <c r="G1386" s="15">
        <v>129.31</v>
      </c>
      <c r="H1386" t="s">
        <v>25</v>
      </c>
      <c r="I1386">
        <v>1</v>
      </c>
      <c r="J1386" t="s">
        <v>48</v>
      </c>
      <c r="K1386" t="s">
        <v>45</v>
      </c>
      <c r="L1386" t="s">
        <v>45</v>
      </c>
      <c r="M1386" t="s">
        <v>61</v>
      </c>
      <c r="N1386" s="15">
        <v>120.06</v>
      </c>
      <c r="O1386" s="16">
        <v>7.7</v>
      </c>
      <c r="P1386">
        <v>0</v>
      </c>
    </row>
    <row r="1387" spans="1:16" x14ac:dyDescent="0.3">
      <c r="A1387" t="s">
        <v>57</v>
      </c>
      <c r="B1387" t="s">
        <v>19</v>
      </c>
      <c r="C1387" t="s">
        <v>19</v>
      </c>
      <c r="D1387" t="s">
        <v>15</v>
      </c>
      <c r="E1387" t="s">
        <v>76</v>
      </c>
      <c r="F1387" t="s">
        <v>9</v>
      </c>
      <c r="G1387" s="15">
        <v>129.05000000000001</v>
      </c>
      <c r="H1387" t="s">
        <v>26</v>
      </c>
      <c r="I1387">
        <v>2</v>
      </c>
      <c r="J1387" t="s">
        <v>47</v>
      </c>
      <c r="K1387" t="s">
        <v>45</v>
      </c>
      <c r="L1387" t="s">
        <v>46</v>
      </c>
      <c r="M1387" t="s">
        <v>61</v>
      </c>
      <c r="N1387" s="15">
        <v>118.59</v>
      </c>
      <c r="O1387" s="16">
        <v>8.8000000000000007</v>
      </c>
      <c r="P1387">
        <v>0</v>
      </c>
    </row>
    <row r="1388" spans="1:16" x14ac:dyDescent="0.3">
      <c r="A1388" t="s">
        <v>57</v>
      </c>
      <c r="B1388" t="s">
        <v>18</v>
      </c>
      <c r="C1388" t="s">
        <v>18</v>
      </c>
      <c r="D1388" t="s">
        <v>12</v>
      </c>
      <c r="E1388" t="s">
        <v>80</v>
      </c>
      <c r="F1388" t="s">
        <v>13</v>
      </c>
      <c r="G1388" s="15">
        <v>172.87</v>
      </c>
      <c r="H1388" t="s">
        <v>27</v>
      </c>
      <c r="I1388">
        <v>3</v>
      </c>
      <c r="J1388" t="s">
        <v>47</v>
      </c>
      <c r="K1388" t="s">
        <v>45</v>
      </c>
      <c r="L1388" t="s">
        <v>45</v>
      </c>
      <c r="M1388" t="s">
        <v>59</v>
      </c>
      <c r="N1388" s="15">
        <v>162.72999999999999</v>
      </c>
      <c r="O1388" s="16">
        <v>6.2</v>
      </c>
      <c r="P1388">
        <v>0</v>
      </c>
    </row>
    <row r="1389" spans="1:16" x14ac:dyDescent="0.3">
      <c r="A1389" t="s">
        <v>60</v>
      </c>
      <c r="B1389" t="s">
        <v>22</v>
      </c>
      <c r="C1389" t="s">
        <v>22</v>
      </c>
      <c r="D1389" t="s">
        <v>15</v>
      </c>
      <c r="E1389" t="s">
        <v>76</v>
      </c>
      <c r="F1389" t="s">
        <v>9</v>
      </c>
      <c r="G1389" s="15">
        <v>113.31</v>
      </c>
      <c r="H1389" t="s">
        <v>26</v>
      </c>
      <c r="I1389">
        <v>2</v>
      </c>
      <c r="J1389" t="s">
        <v>48</v>
      </c>
      <c r="K1389" t="s">
        <v>46</v>
      </c>
      <c r="L1389" t="s">
        <v>45</v>
      </c>
      <c r="M1389" t="s">
        <v>68</v>
      </c>
      <c r="N1389" s="15">
        <v>116.32</v>
      </c>
      <c r="O1389" s="16">
        <v>-2.6</v>
      </c>
      <c r="P1389">
        <v>0</v>
      </c>
    </row>
    <row r="1390" spans="1:16" x14ac:dyDescent="0.3">
      <c r="A1390" t="s">
        <v>65</v>
      </c>
      <c r="B1390" t="s">
        <v>19</v>
      </c>
      <c r="C1390" t="s">
        <v>19</v>
      </c>
      <c r="D1390" t="s">
        <v>10</v>
      </c>
      <c r="E1390" t="s">
        <v>69</v>
      </c>
      <c r="F1390" t="s">
        <v>9</v>
      </c>
      <c r="G1390" s="15">
        <v>159.94999999999999</v>
      </c>
      <c r="H1390" t="s">
        <v>26</v>
      </c>
      <c r="I1390">
        <v>2</v>
      </c>
      <c r="J1390" t="s">
        <v>44</v>
      </c>
      <c r="K1390" t="s">
        <v>46</v>
      </c>
      <c r="L1390" t="s">
        <v>45</v>
      </c>
      <c r="M1390" t="s">
        <v>61</v>
      </c>
      <c r="N1390" s="15">
        <v>158.91999999999999</v>
      </c>
      <c r="O1390" s="16">
        <v>0.6</v>
      </c>
      <c r="P1390">
        <v>0</v>
      </c>
    </row>
    <row r="1391" spans="1:16" x14ac:dyDescent="0.3">
      <c r="A1391" t="s">
        <v>57</v>
      </c>
      <c r="B1391" t="s">
        <v>19</v>
      </c>
      <c r="C1391" t="s">
        <v>19</v>
      </c>
      <c r="D1391" t="s">
        <v>14</v>
      </c>
      <c r="E1391" t="s">
        <v>77</v>
      </c>
      <c r="F1391" t="s">
        <v>9</v>
      </c>
      <c r="G1391" s="15">
        <v>63.29</v>
      </c>
      <c r="H1391" t="s">
        <v>26</v>
      </c>
      <c r="I1391">
        <v>2</v>
      </c>
      <c r="J1391" t="s">
        <v>48</v>
      </c>
      <c r="K1391" t="s">
        <v>46</v>
      </c>
      <c r="L1391" t="s">
        <v>45</v>
      </c>
      <c r="M1391" t="s">
        <v>68</v>
      </c>
      <c r="N1391" s="15">
        <v>65.97</v>
      </c>
      <c r="O1391" s="16">
        <v>-4.0999999999999996</v>
      </c>
      <c r="P1391">
        <v>0</v>
      </c>
    </row>
    <row r="1392" spans="1:16" x14ac:dyDescent="0.3">
      <c r="A1392" t="s">
        <v>65</v>
      </c>
      <c r="B1392" t="s">
        <v>19</v>
      </c>
      <c r="C1392" t="s">
        <v>19</v>
      </c>
      <c r="D1392" t="s">
        <v>15</v>
      </c>
      <c r="E1392" t="s">
        <v>76</v>
      </c>
      <c r="F1392" t="s">
        <v>9</v>
      </c>
      <c r="G1392" s="15">
        <v>108.7</v>
      </c>
      <c r="H1392" t="s">
        <v>27</v>
      </c>
      <c r="I1392">
        <v>3</v>
      </c>
      <c r="J1392" t="s">
        <v>48</v>
      </c>
      <c r="K1392" t="s">
        <v>46</v>
      </c>
      <c r="L1392" t="s">
        <v>45</v>
      </c>
      <c r="M1392" t="s">
        <v>72</v>
      </c>
      <c r="N1392" s="15">
        <v>126.51</v>
      </c>
      <c r="O1392" s="16">
        <v>-14.1</v>
      </c>
      <c r="P1392">
        <v>0</v>
      </c>
    </row>
    <row r="1393" spans="1:16" x14ac:dyDescent="0.3">
      <c r="A1393" t="s">
        <v>65</v>
      </c>
      <c r="B1393" t="s">
        <v>22</v>
      </c>
      <c r="C1393" t="s">
        <v>22</v>
      </c>
      <c r="D1393" t="s">
        <v>11</v>
      </c>
      <c r="E1393" t="s">
        <v>79</v>
      </c>
      <c r="F1393" t="s">
        <v>9</v>
      </c>
      <c r="G1393" s="15">
        <v>38.54</v>
      </c>
      <c r="H1393" t="s">
        <v>25</v>
      </c>
      <c r="I1393">
        <v>1</v>
      </c>
      <c r="J1393" t="s">
        <v>47</v>
      </c>
      <c r="K1393" t="s">
        <v>45</v>
      </c>
      <c r="L1393" t="s">
        <v>45</v>
      </c>
      <c r="M1393" t="s">
        <v>59</v>
      </c>
      <c r="N1393" s="15">
        <v>33.39</v>
      </c>
      <c r="O1393" s="16">
        <v>15.4</v>
      </c>
      <c r="P1393">
        <v>1</v>
      </c>
    </row>
    <row r="1394" spans="1:16" x14ac:dyDescent="0.3">
      <c r="A1394" t="s">
        <v>65</v>
      </c>
      <c r="B1394" t="s">
        <v>21</v>
      </c>
      <c r="C1394" t="s">
        <v>62</v>
      </c>
      <c r="D1394" t="s">
        <v>15</v>
      </c>
      <c r="E1394" t="s">
        <v>75</v>
      </c>
      <c r="F1394" t="s">
        <v>9</v>
      </c>
      <c r="G1394" s="15">
        <v>130.27000000000001</v>
      </c>
      <c r="H1394" t="s">
        <v>26</v>
      </c>
      <c r="I1394">
        <v>2</v>
      </c>
      <c r="J1394" t="s">
        <v>44</v>
      </c>
      <c r="K1394" t="s">
        <v>45</v>
      </c>
      <c r="L1394" t="s">
        <v>45</v>
      </c>
      <c r="M1394" t="s">
        <v>68</v>
      </c>
      <c r="N1394" s="15">
        <v>126.9</v>
      </c>
      <c r="O1394" s="16">
        <v>2.7</v>
      </c>
      <c r="P1394">
        <v>0</v>
      </c>
    </row>
    <row r="1395" spans="1:16" x14ac:dyDescent="0.3">
      <c r="A1395" t="s">
        <v>60</v>
      </c>
      <c r="B1395" t="s">
        <v>22</v>
      </c>
      <c r="C1395" t="s">
        <v>22</v>
      </c>
      <c r="D1395" t="s">
        <v>11</v>
      </c>
      <c r="E1395" t="s">
        <v>79</v>
      </c>
      <c r="F1395" t="s">
        <v>9</v>
      </c>
      <c r="G1395" s="15">
        <v>27.62</v>
      </c>
      <c r="H1395" t="s">
        <v>26</v>
      </c>
      <c r="I1395">
        <v>2</v>
      </c>
      <c r="J1395" t="s">
        <v>47</v>
      </c>
      <c r="K1395" t="s">
        <v>46</v>
      </c>
      <c r="L1395" t="s">
        <v>45</v>
      </c>
      <c r="M1395" t="s">
        <v>68</v>
      </c>
      <c r="N1395" s="15">
        <v>29.14</v>
      </c>
      <c r="O1395" s="16">
        <v>-5.2</v>
      </c>
      <c r="P1395">
        <v>0</v>
      </c>
    </row>
    <row r="1396" spans="1:16" x14ac:dyDescent="0.3">
      <c r="A1396" t="s">
        <v>60</v>
      </c>
      <c r="B1396" t="s">
        <v>19</v>
      </c>
      <c r="C1396" t="s">
        <v>19</v>
      </c>
      <c r="D1396" t="s">
        <v>14</v>
      </c>
      <c r="E1396" t="s">
        <v>77</v>
      </c>
      <c r="F1396" t="s">
        <v>9</v>
      </c>
      <c r="G1396" s="15">
        <v>66.94</v>
      </c>
      <c r="H1396" t="s">
        <v>27</v>
      </c>
      <c r="I1396">
        <v>3</v>
      </c>
      <c r="J1396" t="s">
        <v>47</v>
      </c>
      <c r="K1396" t="s">
        <v>46</v>
      </c>
      <c r="L1396" t="s">
        <v>45</v>
      </c>
      <c r="M1396" t="s">
        <v>68</v>
      </c>
      <c r="N1396" s="15">
        <v>67.13</v>
      </c>
      <c r="O1396" s="16">
        <v>-0.3</v>
      </c>
      <c r="P1396">
        <v>0</v>
      </c>
    </row>
    <row r="1397" spans="1:16" x14ac:dyDescent="0.3">
      <c r="A1397" t="s">
        <v>57</v>
      </c>
      <c r="B1397" t="s">
        <v>19</v>
      </c>
      <c r="C1397" t="s">
        <v>19</v>
      </c>
      <c r="D1397" t="s">
        <v>14</v>
      </c>
      <c r="E1397" t="s">
        <v>77</v>
      </c>
      <c r="F1397" t="s">
        <v>9</v>
      </c>
      <c r="G1397" s="15">
        <v>63.75</v>
      </c>
      <c r="H1397" t="s">
        <v>27</v>
      </c>
      <c r="I1397">
        <v>3</v>
      </c>
      <c r="J1397" t="s">
        <v>48</v>
      </c>
      <c r="K1397" t="s">
        <v>46</v>
      </c>
      <c r="L1397" t="s">
        <v>45</v>
      </c>
      <c r="M1397" t="s">
        <v>64</v>
      </c>
      <c r="N1397" s="15">
        <v>65.97</v>
      </c>
      <c r="O1397" s="16">
        <v>-3.4</v>
      </c>
      <c r="P1397">
        <v>0</v>
      </c>
    </row>
    <row r="1398" spans="1:16" x14ac:dyDescent="0.3">
      <c r="A1398" t="s">
        <v>65</v>
      </c>
      <c r="B1398" t="s">
        <v>17</v>
      </c>
      <c r="C1398" t="s">
        <v>17</v>
      </c>
      <c r="D1398" t="s">
        <v>14</v>
      </c>
      <c r="E1398" t="s">
        <v>71</v>
      </c>
      <c r="F1398" t="s">
        <v>9</v>
      </c>
      <c r="G1398" s="15">
        <v>77.67</v>
      </c>
      <c r="H1398" t="s">
        <v>25</v>
      </c>
      <c r="I1398">
        <v>1</v>
      </c>
      <c r="J1398" t="s">
        <v>47</v>
      </c>
      <c r="K1398" t="s">
        <v>45</v>
      </c>
      <c r="L1398" t="s">
        <v>45</v>
      </c>
      <c r="M1398" t="s">
        <v>72</v>
      </c>
      <c r="N1398" s="15">
        <v>71.77</v>
      </c>
      <c r="O1398" s="16">
        <v>8.1999999999999993</v>
      </c>
      <c r="P1398">
        <v>0</v>
      </c>
    </row>
    <row r="1399" spans="1:16" x14ac:dyDescent="0.3">
      <c r="A1399" t="s">
        <v>60</v>
      </c>
      <c r="B1399" t="s">
        <v>19</v>
      </c>
      <c r="C1399" t="s">
        <v>19</v>
      </c>
      <c r="D1399" t="s">
        <v>14</v>
      </c>
      <c r="E1399" t="s">
        <v>77</v>
      </c>
      <c r="F1399" t="s">
        <v>9</v>
      </c>
      <c r="G1399" s="15">
        <v>67.95</v>
      </c>
      <c r="H1399" t="s">
        <v>27</v>
      </c>
      <c r="I1399">
        <v>3</v>
      </c>
      <c r="J1399" t="s">
        <v>48</v>
      </c>
      <c r="K1399" t="s">
        <v>45</v>
      </c>
      <c r="L1399" t="s">
        <v>45</v>
      </c>
      <c r="M1399" t="s">
        <v>61</v>
      </c>
      <c r="N1399" s="15">
        <v>67.13</v>
      </c>
      <c r="O1399" s="16">
        <v>1.2</v>
      </c>
      <c r="P1399">
        <v>0</v>
      </c>
    </row>
    <row r="1400" spans="1:16" x14ac:dyDescent="0.3">
      <c r="A1400" t="s">
        <v>65</v>
      </c>
      <c r="B1400" t="s">
        <v>21</v>
      </c>
      <c r="C1400" t="s">
        <v>62</v>
      </c>
      <c r="D1400" t="s">
        <v>10</v>
      </c>
      <c r="E1400" t="s">
        <v>69</v>
      </c>
      <c r="F1400" t="s">
        <v>9</v>
      </c>
      <c r="G1400" s="15">
        <v>151.52000000000001</v>
      </c>
      <c r="H1400" t="s">
        <v>27</v>
      </c>
      <c r="I1400">
        <v>3</v>
      </c>
      <c r="J1400" t="s">
        <v>47</v>
      </c>
      <c r="K1400" t="s">
        <v>45</v>
      </c>
      <c r="L1400" t="s">
        <v>45</v>
      </c>
      <c r="M1400" t="s">
        <v>61</v>
      </c>
      <c r="N1400" s="15">
        <v>158.91999999999999</v>
      </c>
      <c r="O1400" s="16">
        <v>-4.7</v>
      </c>
      <c r="P1400">
        <v>0</v>
      </c>
    </row>
    <row r="1401" spans="1:16" x14ac:dyDescent="0.3">
      <c r="A1401" t="s">
        <v>60</v>
      </c>
      <c r="B1401" t="s">
        <v>17</v>
      </c>
      <c r="C1401" t="s">
        <v>17</v>
      </c>
      <c r="D1401" t="s">
        <v>8</v>
      </c>
      <c r="E1401" t="s">
        <v>73</v>
      </c>
      <c r="F1401" t="s">
        <v>9</v>
      </c>
      <c r="G1401" s="15">
        <v>71.819999999999993</v>
      </c>
      <c r="H1401" t="s">
        <v>25</v>
      </c>
      <c r="I1401">
        <v>1</v>
      </c>
      <c r="J1401" t="s">
        <v>48</v>
      </c>
      <c r="K1401" t="s">
        <v>46</v>
      </c>
      <c r="L1401" t="s">
        <v>45</v>
      </c>
      <c r="M1401" t="s">
        <v>72</v>
      </c>
      <c r="N1401" s="15">
        <v>82.04</v>
      </c>
      <c r="O1401" s="16">
        <v>-12.5</v>
      </c>
      <c r="P1401">
        <v>0</v>
      </c>
    </row>
    <row r="1402" spans="1:16" x14ac:dyDescent="0.3">
      <c r="A1402" t="s">
        <v>65</v>
      </c>
      <c r="B1402" t="s">
        <v>21</v>
      </c>
      <c r="C1402" t="s">
        <v>62</v>
      </c>
      <c r="D1402" t="s">
        <v>15</v>
      </c>
      <c r="E1402" t="s">
        <v>75</v>
      </c>
      <c r="F1402" t="s">
        <v>9</v>
      </c>
      <c r="G1402" s="15">
        <v>131.80000000000001</v>
      </c>
      <c r="H1402" t="s">
        <v>26</v>
      </c>
      <c r="I1402">
        <v>2</v>
      </c>
      <c r="J1402" t="s">
        <v>47</v>
      </c>
      <c r="K1402" t="s">
        <v>45</v>
      </c>
      <c r="L1402" t="s">
        <v>45</v>
      </c>
      <c r="M1402" t="s">
        <v>72</v>
      </c>
      <c r="N1402" s="15">
        <v>126.9</v>
      </c>
      <c r="O1402" s="16">
        <v>3.9</v>
      </c>
      <c r="P1402">
        <v>0</v>
      </c>
    </row>
    <row r="1403" spans="1:16" x14ac:dyDescent="0.3">
      <c r="A1403" t="s">
        <v>60</v>
      </c>
      <c r="B1403" t="s">
        <v>22</v>
      </c>
      <c r="C1403" t="s">
        <v>22</v>
      </c>
      <c r="D1403" t="s">
        <v>15</v>
      </c>
      <c r="E1403" t="s">
        <v>75</v>
      </c>
      <c r="F1403" t="s">
        <v>9</v>
      </c>
      <c r="G1403" s="15">
        <v>129.69</v>
      </c>
      <c r="H1403" t="s">
        <v>26</v>
      </c>
      <c r="I1403">
        <v>2</v>
      </c>
      <c r="J1403" t="s">
        <v>48</v>
      </c>
      <c r="K1403" t="s">
        <v>45</v>
      </c>
      <c r="L1403" t="s">
        <v>45</v>
      </c>
      <c r="M1403" t="s">
        <v>59</v>
      </c>
      <c r="N1403" s="15">
        <v>119</v>
      </c>
      <c r="O1403" s="16">
        <v>9</v>
      </c>
      <c r="P1403">
        <v>0</v>
      </c>
    </row>
    <row r="1404" spans="1:16" x14ac:dyDescent="0.3">
      <c r="A1404" t="s">
        <v>57</v>
      </c>
      <c r="B1404" t="s">
        <v>17</v>
      </c>
      <c r="C1404" t="s">
        <v>17</v>
      </c>
      <c r="D1404" t="s">
        <v>11</v>
      </c>
      <c r="E1404" t="s">
        <v>79</v>
      </c>
      <c r="F1404" t="s">
        <v>9</v>
      </c>
      <c r="G1404" s="15">
        <v>31.25</v>
      </c>
      <c r="H1404" t="s">
        <v>26</v>
      </c>
      <c r="I1404">
        <v>2</v>
      </c>
      <c r="J1404" t="s">
        <v>47</v>
      </c>
      <c r="K1404" t="s">
        <v>46</v>
      </c>
      <c r="L1404" t="s">
        <v>45</v>
      </c>
      <c r="M1404" t="s">
        <v>68</v>
      </c>
      <c r="N1404" s="15">
        <v>30.93</v>
      </c>
      <c r="O1404" s="16">
        <v>1</v>
      </c>
      <c r="P1404">
        <v>0</v>
      </c>
    </row>
    <row r="1405" spans="1:16" x14ac:dyDescent="0.3">
      <c r="A1405" t="s">
        <v>65</v>
      </c>
      <c r="B1405" t="s">
        <v>20</v>
      </c>
      <c r="C1405" t="s">
        <v>20</v>
      </c>
      <c r="D1405" t="s">
        <v>14</v>
      </c>
      <c r="E1405" t="s">
        <v>63</v>
      </c>
      <c r="F1405" t="s">
        <v>9</v>
      </c>
      <c r="G1405" s="15">
        <v>72.44</v>
      </c>
      <c r="H1405" t="s">
        <v>25</v>
      </c>
      <c r="I1405">
        <v>1</v>
      </c>
      <c r="J1405" t="s">
        <v>48</v>
      </c>
      <c r="K1405" t="s">
        <v>45</v>
      </c>
      <c r="L1405" t="s">
        <v>45</v>
      </c>
      <c r="M1405" t="s">
        <v>72</v>
      </c>
      <c r="N1405" s="15">
        <v>68.150000000000006</v>
      </c>
      <c r="O1405" s="16">
        <v>6.3</v>
      </c>
      <c r="P1405">
        <v>0</v>
      </c>
    </row>
    <row r="1406" spans="1:16" x14ac:dyDescent="0.3">
      <c r="A1406" t="s">
        <v>57</v>
      </c>
      <c r="B1406" t="s">
        <v>19</v>
      </c>
      <c r="C1406" t="s">
        <v>19</v>
      </c>
      <c r="D1406" t="s">
        <v>8</v>
      </c>
      <c r="E1406" t="s">
        <v>73</v>
      </c>
      <c r="F1406" t="s">
        <v>9</v>
      </c>
      <c r="G1406" s="15">
        <v>95.23</v>
      </c>
      <c r="H1406" t="s">
        <v>26</v>
      </c>
      <c r="I1406">
        <v>2</v>
      </c>
      <c r="J1406" t="s">
        <v>48</v>
      </c>
      <c r="K1406" t="s">
        <v>46</v>
      </c>
      <c r="L1406" t="s">
        <v>46</v>
      </c>
      <c r="M1406" t="s">
        <v>67</v>
      </c>
      <c r="N1406" s="15">
        <v>86.06</v>
      </c>
      <c r="O1406" s="16">
        <v>10.7</v>
      </c>
      <c r="P1406">
        <v>0</v>
      </c>
    </row>
    <row r="1407" spans="1:16" x14ac:dyDescent="0.3">
      <c r="A1407" t="s">
        <v>60</v>
      </c>
      <c r="B1407" t="s">
        <v>19</v>
      </c>
      <c r="C1407" t="s">
        <v>19</v>
      </c>
      <c r="D1407" t="s">
        <v>15</v>
      </c>
      <c r="E1407" t="s">
        <v>75</v>
      </c>
      <c r="F1407" t="s">
        <v>9</v>
      </c>
      <c r="G1407" s="15">
        <v>119.16</v>
      </c>
      <c r="H1407" t="s">
        <v>26</v>
      </c>
      <c r="I1407">
        <v>2</v>
      </c>
      <c r="J1407" t="s">
        <v>48</v>
      </c>
      <c r="K1407" t="s">
        <v>45</v>
      </c>
      <c r="L1407" t="s">
        <v>45</v>
      </c>
      <c r="M1407" t="s">
        <v>59</v>
      </c>
      <c r="N1407" s="15">
        <v>119</v>
      </c>
      <c r="O1407" s="16">
        <v>0.1</v>
      </c>
      <c r="P1407">
        <v>0</v>
      </c>
    </row>
    <row r="1408" spans="1:16" x14ac:dyDescent="0.3">
      <c r="A1408" t="s">
        <v>57</v>
      </c>
      <c r="B1408" t="s">
        <v>21</v>
      </c>
      <c r="C1408" t="s">
        <v>62</v>
      </c>
      <c r="D1408" t="s">
        <v>10</v>
      </c>
      <c r="E1408" t="s">
        <v>69</v>
      </c>
      <c r="F1408" t="s">
        <v>9</v>
      </c>
      <c r="G1408" s="15">
        <v>142.02000000000001</v>
      </c>
      <c r="H1408" t="s">
        <v>27</v>
      </c>
      <c r="I1408">
        <v>3</v>
      </c>
      <c r="J1408" t="s">
        <v>48</v>
      </c>
      <c r="K1408" t="s">
        <v>46</v>
      </c>
      <c r="L1408" t="s">
        <v>45</v>
      </c>
      <c r="M1408" t="s">
        <v>68</v>
      </c>
      <c r="N1408" s="15">
        <v>150.38999999999999</v>
      </c>
      <c r="O1408" s="16">
        <v>-5.6</v>
      </c>
      <c r="P1408">
        <v>0</v>
      </c>
    </row>
    <row r="1409" spans="1:16" x14ac:dyDescent="0.3">
      <c r="A1409" t="s">
        <v>57</v>
      </c>
      <c r="B1409" t="s">
        <v>18</v>
      </c>
      <c r="C1409" t="s">
        <v>18</v>
      </c>
      <c r="D1409" t="s">
        <v>12</v>
      </c>
      <c r="E1409" t="s">
        <v>80</v>
      </c>
      <c r="F1409" t="s">
        <v>13</v>
      </c>
      <c r="G1409" s="15">
        <v>184.44</v>
      </c>
      <c r="H1409" t="s">
        <v>26</v>
      </c>
      <c r="I1409">
        <v>2</v>
      </c>
      <c r="J1409" t="s">
        <v>48</v>
      </c>
      <c r="K1409" t="s">
        <v>45</v>
      </c>
      <c r="L1409" t="s">
        <v>45</v>
      </c>
      <c r="M1409" t="s">
        <v>61</v>
      </c>
      <c r="N1409" s="15">
        <v>162.72999999999999</v>
      </c>
      <c r="O1409" s="16">
        <v>13.3</v>
      </c>
      <c r="P1409">
        <v>0</v>
      </c>
    </row>
    <row r="1410" spans="1:16" x14ac:dyDescent="0.3">
      <c r="A1410" t="s">
        <v>57</v>
      </c>
      <c r="B1410" t="s">
        <v>19</v>
      </c>
      <c r="C1410" t="s">
        <v>19</v>
      </c>
      <c r="D1410" t="s">
        <v>14</v>
      </c>
      <c r="E1410" t="s">
        <v>63</v>
      </c>
      <c r="F1410" t="s">
        <v>9</v>
      </c>
      <c r="G1410" s="15">
        <v>80</v>
      </c>
      <c r="H1410" t="s">
        <v>26</v>
      </c>
      <c r="I1410">
        <v>2</v>
      </c>
      <c r="J1410" t="s">
        <v>48</v>
      </c>
      <c r="K1410" t="s">
        <v>45</v>
      </c>
      <c r="L1410" t="s">
        <v>45</v>
      </c>
      <c r="M1410" t="s">
        <v>64</v>
      </c>
      <c r="N1410" s="15">
        <v>65.16</v>
      </c>
      <c r="O1410" s="16">
        <v>22.8</v>
      </c>
      <c r="P1410">
        <v>1</v>
      </c>
    </row>
    <row r="1411" spans="1:16" x14ac:dyDescent="0.3">
      <c r="A1411" t="s">
        <v>65</v>
      </c>
      <c r="B1411" t="s">
        <v>21</v>
      </c>
      <c r="C1411" t="s">
        <v>62</v>
      </c>
      <c r="D1411" t="s">
        <v>14</v>
      </c>
      <c r="E1411" t="s">
        <v>63</v>
      </c>
      <c r="F1411" t="s">
        <v>9</v>
      </c>
      <c r="G1411" s="15">
        <v>80</v>
      </c>
      <c r="H1411" t="s">
        <v>25</v>
      </c>
      <c r="I1411">
        <v>1</v>
      </c>
      <c r="J1411" t="s">
        <v>44</v>
      </c>
      <c r="K1411" t="s">
        <v>45</v>
      </c>
      <c r="L1411" t="s">
        <v>46</v>
      </c>
      <c r="M1411" t="s">
        <v>78</v>
      </c>
      <c r="N1411" s="15">
        <v>68.150000000000006</v>
      </c>
      <c r="O1411" s="16">
        <v>17.399999999999999</v>
      </c>
      <c r="P1411">
        <v>1</v>
      </c>
    </row>
    <row r="1412" spans="1:16" x14ac:dyDescent="0.3">
      <c r="A1412" t="s">
        <v>57</v>
      </c>
      <c r="B1412" t="s">
        <v>17</v>
      </c>
      <c r="C1412" t="s">
        <v>17</v>
      </c>
      <c r="D1412" t="s">
        <v>14</v>
      </c>
      <c r="E1412" t="s">
        <v>63</v>
      </c>
      <c r="F1412" t="s">
        <v>9</v>
      </c>
      <c r="G1412" s="15">
        <v>72.150000000000006</v>
      </c>
      <c r="H1412" t="s">
        <v>26</v>
      </c>
      <c r="I1412">
        <v>2</v>
      </c>
      <c r="J1412" t="s">
        <v>47</v>
      </c>
      <c r="K1412" t="s">
        <v>46</v>
      </c>
      <c r="L1412" t="s">
        <v>46</v>
      </c>
      <c r="M1412" t="s">
        <v>78</v>
      </c>
      <c r="N1412" s="15">
        <v>65.16</v>
      </c>
      <c r="O1412" s="16">
        <v>10.7</v>
      </c>
      <c r="P1412">
        <v>0</v>
      </c>
    </row>
    <row r="1413" spans="1:16" x14ac:dyDescent="0.3">
      <c r="A1413" t="s">
        <v>60</v>
      </c>
      <c r="B1413" t="s">
        <v>22</v>
      </c>
      <c r="C1413" t="s">
        <v>22</v>
      </c>
      <c r="D1413" t="s">
        <v>12</v>
      </c>
      <c r="E1413" t="s">
        <v>80</v>
      </c>
      <c r="F1413" t="s">
        <v>13</v>
      </c>
      <c r="G1413" s="15">
        <v>155.09</v>
      </c>
      <c r="H1413" t="s">
        <v>26</v>
      </c>
      <c r="I1413">
        <v>2</v>
      </c>
      <c r="J1413" t="s">
        <v>48</v>
      </c>
      <c r="K1413" t="s">
        <v>46</v>
      </c>
      <c r="L1413" t="s">
        <v>45</v>
      </c>
      <c r="M1413" t="s">
        <v>59</v>
      </c>
      <c r="N1413" s="15">
        <v>167.63</v>
      </c>
      <c r="O1413" s="16">
        <v>-7.5</v>
      </c>
      <c r="P1413">
        <v>0</v>
      </c>
    </row>
    <row r="1414" spans="1:16" x14ac:dyDescent="0.3">
      <c r="A1414" t="s">
        <v>65</v>
      </c>
      <c r="B1414" t="s">
        <v>21</v>
      </c>
      <c r="C1414" t="s">
        <v>62</v>
      </c>
      <c r="D1414" t="s">
        <v>8</v>
      </c>
      <c r="E1414" t="s">
        <v>73</v>
      </c>
      <c r="F1414" t="s">
        <v>9</v>
      </c>
      <c r="G1414" s="15">
        <v>103.13</v>
      </c>
      <c r="H1414" t="s">
        <v>26</v>
      </c>
      <c r="I1414">
        <v>2</v>
      </c>
      <c r="J1414" t="s">
        <v>47</v>
      </c>
      <c r="K1414" t="s">
        <v>45</v>
      </c>
      <c r="L1414" t="s">
        <v>45</v>
      </c>
      <c r="M1414" t="s">
        <v>72</v>
      </c>
      <c r="N1414" s="15">
        <v>88.05</v>
      </c>
      <c r="O1414" s="16">
        <v>17.100000000000001</v>
      </c>
      <c r="P1414">
        <v>1</v>
      </c>
    </row>
    <row r="1415" spans="1:16" x14ac:dyDescent="0.3">
      <c r="A1415" t="s">
        <v>65</v>
      </c>
      <c r="B1415" t="s">
        <v>19</v>
      </c>
      <c r="C1415" t="s">
        <v>19</v>
      </c>
      <c r="D1415" t="s">
        <v>10</v>
      </c>
      <c r="E1415" t="s">
        <v>58</v>
      </c>
      <c r="F1415" t="s">
        <v>9</v>
      </c>
      <c r="G1415" s="15">
        <v>174.51</v>
      </c>
      <c r="H1415" t="s">
        <v>26</v>
      </c>
      <c r="I1415">
        <v>2</v>
      </c>
      <c r="J1415" t="s">
        <v>48</v>
      </c>
      <c r="K1415" t="s">
        <v>45</v>
      </c>
      <c r="L1415" t="s">
        <v>46</v>
      </c>
      <c r="M1415" t="s">
        <v>64</v>
      </c>
      <c r="N1415" s="15">
        <v>166.29</v>
      </c>
      <c r="O1415" s="16">
        <v>4.9000000000000004</v>
      </c>
      <c r="P1415">
        <v>0</v>
      </c>
    </row>
    <row r="1416" spans="1:16" x14ac:dyDescent="0.3">
      <c r="A1416" t="s">
        <v>65</v>
      </c>
      <c r="B1416" t="s">
        <v>21</v>
      </c>
      <c r="C1416" t="s">
        <v>62</v>
      </c>
      <c r="D1416" t="s">
        <v>10</v>
      </c>
      <c r="E1416" t="s">
        <v>69</v>
      </c>
      <c r="F1416" t="s">
        <v>9</v>
      </c>
      <c r="G1416" s="15">
        <v>141.81</v>
      </c>
      <c r="H1416" t="s">
        <v>26</v>
      </c>
      <c r="I1416">
        <v>2</v>
      </c>
      <c r="J1416" t="s">
        <v>47</v>
      </c>
      <c r="K1416" t="s">
        <v>46</v>
      </c>
      <c r="L1416" t="s">
        <v>45</v>
      </c>
      <c r="M1416" t="s">
        <v>59</v>
      </c>
      <c r="N1416" s="15">
        <v>158.91999999999999</v>
      </c>
      <c r="O1416" s="16">
        <v>-10.8</v>
      </c>
      <c r="P1416">
        <v>0</v>
      </c>
    </row>
    <row r="1417" spans="1:16" x14ac:dyDescent="0.3">
      <c r="A1417" t="s">
        <v>65</v>
      </c>
      <c r="B1417" t="s">
        <v>19</v>
      </c>
      <c r="C1417" t="s">
        <v>19</v>
      </c>
      <c r="D1417" t="s">
        <v>12</v>
      </c>
      <c r="E1417" t="s">
        <v>66</v>
      </c>
      <c r="F1417" t="s">
        <v>13</v>
      </c>
      <c r="G1417" s="15">
        <v>191.29</v>
      </c>
      <c r="H1417" t="s">
        <v>25</v>
      </c>
      <c r="I1417">
        <v>1</v>
      </c>
      <c r="J1417" t="s">
        <v>47</v>
      </c>
      <c r="K1417" t="s">
        <v>45</v>
      </c>
      <c r="L1417" t="s">
        <v>45</v>
      </c>
      <c r="M1417" t="s">
        <v>68</v>
      </c>
      <c r="N1417" s="15">
        <v>178.49</v>
      </c>
      <c r="O1417" s="16">
        <v>7.2</v>
      </c>
      <c r="P1417">
        <v>0</v>
      </c>
    </row>
    <row r="1418" spans="1:16" x14ac:dyDescent="0.3">
      <c r="A1418" t="s">
        <v>57</v>
      </c>
      <c r="B1418" t="s">
        <v>17</v>
      </c>
      <c r="C1418" t="s">
        <v>17</v>
      </c>
      <c r="D1418" t="s">
        <v>10</v>
      </c>
      <c r="E1418" t="s">
        <v>58</v>
      </c>
      <c r="F1418" t="s">
        <v>9</v>
      </c>
      <c r="G1418" s="15">
        <v>174.15</v>
      </c>
      <c r="H1418" t="s">
        <v>25</v>
      </c>
      <c r="I1418">
        <v>1</v>
      </c>
      <c r="J1418" t="s">
        <v>48</v>
      </c>
      <c r="K1418" t="s">
        <v>45</v>
      </c>
      <c r="L1418" t="s">
        <v>46</v>
      </c>
      <c r="M1418" t="s">
        <v>59</v>
      </c>
      <c r="N1418" s="15">
        <v>151.19</v>
      </c>
      <c r="O1418" s="16">
        <v>15.2</v>
      </c>
      <c r="P1418">
        <v>1</v>
      </c>
    </row>
    <row r="1419" spans="1:16" x14ac:dyDescent="0.3">
      <c r="A1419" t="s">
        <v>60</v>
      </c>
      <c r="B1419" t="s">
        <v>17</v>
      </c>
      <c r="C1419" t="s">
        <v>17</v>
      </c>
      <c r="D1419" t="s">
        <v>8</v>
      </c>
      <c r="E1419" t="s">
        <v>74</v>
      </c>
      <c r="F1419" t="s">
        <v>9</v>
      </c>
      <c r="G1419" s="15">
        <v>88.87</v>
      </c>
      <c r="H1419" t="s">
        <v>27</v>
      </c>
      <c r="I1419">
        <v>3</v>
      </c>
      <c r="J1419" t="s">
        <v>48</v>
      </c>
      <c r="K1419" t="s">
        <v>46</v>
      </c>
      <c r="L1419" t="s">
        <v>45</v>
      </c>
      <c r="M1419" t="s">
        <v>64</v>
      </c>
      <c r="N1419" s="15">
        <v>78.260000000000005</v>
      </c>
      <c r="O1419" s="16">
        <v>13.6</v>
      </c>
      <c r="P1419">
        <v>0</v>
      </c>
    </row>
    <row r="1420" spans="1:16" x14ac:dyDescent="0.3">
      <c r="A1420" t="s">
        <v>57</v>
      </c>
      <c r="B1420" t="s">
        <v>22</v>
      </c>
      <c r="C1420" t="s">
        <v>22</v>
      </c>
      <c r="D1420" t="s">
        <v>8</v>
      </c>
      <c r="E1420" t="s">
        <v>73</v>
      </c>
      <c r="F1420" t="s">
        <v>9</v>
      </c>
      <c r="G1420" s="15">
        <v>80.63</v>
      </c>
      <c r="H1420" t="s">
        <v>26</v>
      </c>
      <c r="I1420">
        <v>2</v>
      </c>
      <c r="J1420" t="s">
        <v>47</v>
      </c>
      <c r="K1420" t="s">
        <v>46</v>
      </c>
      <c r="L1420" t="s">
        <v>46</v>
      </c>
      <c r="M1420" t="s">
        <v>59</v>
      </c>
      <c r="N1420" s="15">
        <v>86.06</v>
      </c>
      <c r="O1420" s="16">
        <v>-6.3</v>
      </c>
      <c r="P1420">
        <v>0</v>
      </c>
    </row>
    <row r="1421" spans="1:16" x14ac:dyDescent="0.3">
      <c r="A1421" t="s">
        <v>57</v>
      </c>
      <c r="B1421" t="s">
        <v>17</v>
      </c>
      <c r="C1421" t="s">
        <v>17</v>
      </c>
      <c r="D1421" t="s">
        <v>8</v>
      </c>
      <c r="E1421" t="s">
        <v>74</v>
      </c>
      <c r="F1421" t="s">
        <v>9</v>
      </c>
      <c r="G1421" s="15">
        <v>88.85</v>
      </c>
      <c r="H1421" t="s">
        <v>25</v>
      </c>
      <c r="I1421">
        <v>1</v>
      </c>
      <c r="J1421" t="s">
        <v>48</v>
      </c>
      <c r="K1421" t="s">
        <v>46</v>
      </c>
      <c r="L1421" t="s">
        <v>45</v>
      </c>
      <c r="M1421" t="s">
        <v>67</v>
      </c>
      <c r="N1421" s="15">
        <v>83.41</v>
      </c>
      <c r="O1421" s="16">
        <v>6.5</v>
      </c>
      <c r="P1421">
        <v>0</v>
      </c>
    </row>
    <row r="1422" spans="1:16" x14ac:dyDescent="0.3">
      <c r="A1422" t="s">
        <v>60</v>
      </c>
      <c r="B1422" t="s">
        <v>19</v>
      </c>
      <c r="C1422" t="s">
        <v>19</v>
      </c>
      <c r="D1422" t="s">
        <v>11</v>
      </c>
      <c r="E1422" t="s">
        <v>79</v>
      </c>
      <c r="F1422" t="s">
        <v>9</v>
      </c>
      <c r="G1422" s="15">
        <v>29.32</v>
      </c>
      <c r="H1422" t="s">
        <v>27</v>
      </c>
      <c r="I1422">
        <v>3</v>
      </c>
      <c r="J1422" t="s">
        <v>48</v>
      </c>
      <c r="K1422" t="s">
        <v>46</v>
      </c>
      <c r="L1422" t="s">
        <v>45</v>
      </c>
      <c r="M1422" t="s">
        <v>78</v>
      </c>
      <c r="N1422" s="15">
        <v>29.14</v>
      </c>
      <c r="O1422" s="16">
        <v>0.6</v>
      </c>
      <c r="P1422">
        <v>0</v>
      </c>
    </row>
    <row r="1423" spans="1:16" x14ac:dyDescent="0.3">
      <c r="A1423" t="s">
        <v>57</v>
      </c>
      <c r="B1423" t="s">
        <v>19</v>
      </c>
      <c r="C1423" t="s">
        <v>19</v>
      </c>
      <c r="D1423" t="s">
        <v>14</v>
      </c>
      <c r="E1423" t="s">
        <v>63</v>
      </c>
      <c r="F1423" t="s">
        <v>9</v>
      </c>
      <c r="G1423" s="15">
        <v>56.9</v>
      </c>
      <c r="H1423" t="s">
        <v>27</v>
      </c>
      <c r="I1423">
        <v>3</v>
      </c>
      <c r="J1423" t="s">
        <v>47</v>
      </c>
      <c r="K1423" t="s">
        <v>46</v>
      </c>
      <c r="L1423" t="s">
        <v>45</v>
      </c>
      <c r="M1423" t="s">
        <v>78</v>
      </c>
      <c r="N1423" s="15">
        <v>65.16</v>
      </c>
      <c r="O1423" s="16">
        <v>-12.7</v>
      </c>
      <c r="P1423">
        <v>0</v>
      </c>
    </row>
    <row r="1424" spans="1:16" x14ac:dyDescent="0.3">
      <c r="A1424" t="s">
        <v>65</v>
      </c>
      <c r="B1424" t="s">
        <v>21</v>
      </c>
      <c r="C1424" t="s">
        <v>62</v>
      </c>
      <c r="D1424" t="s">
        <v>12</v>
      </c>
      <c r="E1424" t="s">
        <v>66</v>
      </c>
      <c r="F1424" t="s">
        <v>13</v>
      </c>
      <c r="G1424" s="15">
        <v>200</v>
      </c>
      <c r="H1424" t="s">
        <v>26</v>
      </c>
      <c r="I1424">
        <v>2</v>
      </c>
      <c r="J1424" t="s">
        <v>44</v>
      </c>
      <c r="K1424" t="s">
        <v>45</v>
      </c>
      <c r="L1424" t="s">
        <v>45</v>
      </c>
      <c r="M1424" t="s">
        <v>64</v>
      </c>
      <c r="N1424" s="15">
        <v>178.49</v>
      </c>
      <c r="O1424" s="16">
        <v>12.1</v>
      </c>
      <c r="P1424">
        <v>0</v>
      </c>
    </row>
    <row r="1425" spans="1:16" x14ac:dyDescent="0.3">
      <c r="A1425" t="s">
        <v>60</v>
      </c>
      <c r="B1425" t="s">
        <v>17</v>
      </c>
      <c r="C1425" t="s">
        <v>17</v>
      </c>
      <c r="D1425" t="s">
        <v>8</v>
      </c>
      <c r="E1425" t="s">
        <v>73</v>
      </c>
      <c r="F1425" t="s">
        <v>9</v>
      </c>
      <c r="G1425" s="15">
        <v>77.02</v>
      </c>
      <c r="H1425" t="s">
        <v>27</v>
      </c>
      <c r="I1425">
        <v>3</v>
      </c>
      <c r="J1425" t="s">
        <v>47</v>
      </c>
      <c r="K1425" t="s">
        <v>45</v>
      </c>
      <c r="L1425" t="s">
        <v>45</v>
      </c>
      <c r="M1425" t="s">
        <v>61</v>
      </c>
      <c r="N1425" s="15">
        <v>82.04</v>
      </c>
      <c r="O1425" s="16">
        <v>-6.1</v>
      </c>
      <c r="P1425">
        <v>0</v>
      </c>
    </row>
    <row r="1426" spans="1:16" x14ac:dyDescent="0.3">
      <c r="A1426" t="s">
        <v>60</v>
      </c>
      <c r="B1426" t="s">
        <v>21</v>
      </c>
      <c r="C1426" t="s">
        <v>62</v>
      </c>
      <c r="D1426" t="s">
        <v>15</v>
      </c>
      <c r="E1426" t="s">
        <v>75</v>
      </c>
      <c r="F1426" t="s">
        <v>9</v>
      </c>
      <c r="G1426" s="15">
        <v>135.46</v>
      </c>
      <c r="H1426" t="s">
        <v>25</v>
      </c>
      <c r="I1426">
        <v>1</v>
      </c>
      <c r="J1426" t="s">
        <v>47</v>
      </c>
      <c r="K1426" t="s">
        <v>46</v>
      </c>
      <c r="L1426" t="s">
        <v>46</v>
      </c>
      <c r="M1426" t="s">
        <v>68</v>
      </c>
      <c r="N1426" s="15">
        <v>119</v>
      </c>
      <c r="O1426" s="16">
        <v>13.8</v>
      </c>
      <c r="P1426">
        <v>0</v>
      </c>
    </row>
    <row r="1427" spans="1:16" x14ac:dyDescent="0.3">
      <c r="A1427" t="s">
        <v>65</v>
      </c>
      <c r="B1427" t="s">
        <v>19</v>
      </c>
      <c r="C1427" t="s">
        <v>19</v>
      </c>
      <c r="D1427" t="s">
        <v>10</v>
      </c>
      <c r="E1427" t="s">
        <v>69</v>
      </c>
      <c r="F1427" t="s">
        <v>9</v>
      </c>
      <c r="G1427" s="15">
        <v>167.73</v>
      </c>
      <c r="H1427" t="s">
        <v>26</v>
      </c>
      <c r="I1427">
        <v>2</v>
      </c>
      <c r="J1427" t="s">
        <v>47</v>
      </c>
      <c r="K1427" t="s">
        <v>46</v>
      </c>
      <c r="L1427" t="s">
        <v>45</v>
      </c>
      <c r="M1427" t="s">
        <v>78</v>
      </c>
      <c r="N1427" s="15">
        <v>158.91999999999999</v>
      </c>
      <c r="O1427" s="16">
        <v>5.5</v>
      </c>
      <c r="P1427">
        <v>0</v>
      </c>
    </row>
    <row r="1428" spans="1:16" x14ac:dyDescent="0.3">
      <c r="A1428" t="s">
        <v>57</v>
      </c>
      <c r="B1428" t="s">
        <v>22</v>
      </c>
      <c r="C1428" t="s">
        <v>22</v>
      </c>
      <c r="D1428" t="s">
        <v>14</v>
      </c>
      <c r="E1428" t="s">
        <v>71</v>
      </c>
      <c r="F1428" t="s">
        <v>9</v>
      </c>
      <c r="G1428" s="15">
        <v>60.78</v>
      </c>
      <c r="H1428" t="s">
        <v>26</v>
      </c>
      <c r="I1428">
        <v>2</v>
      </c>
      <c r="J1428" t="s">
        <v>48</v>
      </c>
      <c r="K1428" t="s">
        <v>46</v>
      </c>
      <c r="L1428" t="s">
        <v>45</v>
      </c>
      <c r="M1428" t="s">
        <v>72</v>
      </c>
      <c r="N1428" s="15">
        <v>65.77</v>
      </c>
      <c r="O1428" s="16">
        <v>-7.6</v>
      </c>
      <c r="P1428">
        <v>0</v>
      </c>
    </row>
    <row r="1429" spans="1:16" x14ac:dyDescent="0.3">
      <c r="A1429" t="s">
        <v>65</v>
      </c>
      <c r="B1429" t="s">
        <v>21</v>
      </c>
      <c r="C1429" t="s">
        <v>62</v>
      </c>
      <c r="D1429" t="s">
        <v>11</v>
      </c>
      <c r="E1429" t="s">
        <v>70</v>
      </c>
      <c r="F1429" t="s">
        <v>9</v>
      </c>
      <c r="G1429" s="15">
        <v>24.92</v>
      </c>
      <c r="H1429" t="s">
        <v>26</v>
      </c>
      <c r="I1429">
        <v>2</v>
      </c>
      <c r="J1429" t="s">
        <v>48</v>
      </c>
      <c r="K1429" t="s">
        <v>46</v>
      </c>
      <c r="L1429" t="s">
        <v>46</v>
      </c>
      <c r="M1429" t="s">
        <v>64</v>
      </c>
      <c r="N1429" s="15">
        <v>32.630000000000003</v>
      </c>
      <c r="O1429" s="16">
        <v>-23.6</v>
      </c>
      <c r="P1429">
        <v>0</v>
      </c>
    </row>
    <row r="1430" spans="1:16" x14ac:dyDescent="0.3">
      <c r="A1430" t="s">
        <v>60</v>
      </c>
      <c r="B1430" t="s">
        <v>20</v>
      </c>
      <c r="C1430" t="s">
        <v>20</v>
      </c>
      <c r="D1430" t="s">
        <v>11</v>
      </c>
      <c r="E1430" t="s">
        <v>70</v>
      </c>
      <c r="F1430" t="s">
        <v>9</v>
      </c>
      <c r="G1430" s="15">
        <v>23.64</v>
      </c>
      <c r="H1430" t="s">
        <v>26</v>
      </c>
      <c r="I1430">
        <v>2</v>
      </c>
      <c r="J1430" t="s">
        <v>48</v>
      </c>
      <c r="K1430" t="s">
        <v>46</v>
      </c>
      <c r="L1430" t="s">
        <v>45</v>
      </c>
      <c r="M1430" t="s">
        <v>68</v>
      </c>
      <c r="N1430" s="15">
        <v>31.4</v>
      </c>
      <c r="O1430" s="16">
        <v>-24.7</v>
      </c>
      <c r="P1430">
        <v>0</v>
      </c>
    </row>
    <row r="1431" spans="1:16" x14ac:dyDescent="0.3">
      <c r="A1431" t="s">
        <v>65</v>
      </c>
      <c r="B1431" t="s">
        <v>21</v>
      </c>
      <c r="C1431" t="s">
        <v>62</v>
      </c>
      <c r="D1431" t="s">
        <v>10</v>
      </c>
      <c r="E1431" t="s">
        <v>69</v>
      </c>
      <c r="F1431" t="s">
        <v>9</v>
      </c>
      <c r="G1431" s="15">
        <v>117</v>
      </c>
      <c r="H1431" t="s">
        <v>26</v>
      </c>
      <c r="I1431">
        <v>2</v>
      </c>
      <c r="J1431" t="s">
        <v>47</v>
      </c>
      <c r="K1431" t="s">
        <v>45</v>
      </c>
      <c r="L1431" t="s">
        <v>46</v>
      </c>
      <c r="M1431" t="s">
        <v>72</v>
      </c>
      <c r="N1431" s="15">
        <v>158.91999999999999</v>
      </c>
      <c r="O1431" s="16">
        <v>-26.4</v>
      </c>
      <c r="P1431">
        <v>0</v>
      </c>
    </row>
    <row r="1432" spans="1:16" x14ac:dyDescent="0.3">
      <c r="A1432" t="s">
        <v>60</v>
      </c>
      <c r="B1432" t="s">
        <v>17</v>
      </c>
      <c r="C1432" t="s">
        <v>17</v>
      </c>
      <c r="D1432" t="s">
        <v>14</v>
      </c>
      <c r="E1432" t="s">
        <v>71</v>
      </c>
      <c r="F1432" t="s">
        <v>9</v>
      </c>
      <c r="G1432" s="15">
        <v>78</v>
      </c>
      <c r="H1432" t="s">
        <v>26</v>
      </c>
      <c r="I1432">
        <v>2</v>
      </c>
      <c r="J1432" t="s">
        <v>47</v>
      </c>
      <c r="K1432" t="s">
        <v>45</v>
      </c>
      <c r="L1432" t="s">
        <v>45</v>
      </c>
      <c r="M1432" t="s">
        <v>64</v>
      </c>
      <c r="N1432" s="15">
        <v>65.239999999999995</v>
      </c>
      <c r="O1432" s="16">
        <v>19.600000000000001</v>
      </c>
      <c r="P1432">
        <v>1</v>
      </c>
    </row>
    <row r="1433" spans="1:16" x14ac:dyDescent="0.3">
      <c r="A1433" t="s">
        <v>57</v>
      </c>
      <c r="B1433" t="s">
        <v>21</v>
      </c>
      <c r="C1433" t="s">
        <v>62</v>
      </c>
      <c r="D1433" t="s">
        <v>10</v>
      </c>
      <c r="E1433" t="s">
        <v>69</v>
      </c>
      <c r="F1433" t="s">
        <v>9</v>
      </c>
      <c r="G1433" s="15">
        <v>183.12</v>
      </c>
      <c r="H1433" t="s">
        <v>27</v>
      </c>
      <c r="I1433">
        <v>3</v>
      </c>
      <c r="J1433" t="s">
        <v>48</v>
      </c>
      <c r="K1433" t="s">
        <v>45</v>
      </c>
      <c r="L1433" t="s">
        <v>46</v>
      </c>
      <c r="M1433" t="s">
        <v>67</v>
      </c>
      <c r="N1433" s="15">
        <v>150.38999999999999</v>
      </c>
      <c r="O1433" s="16">
        <v>21.8</v>
      </c>
      <c r="P1433">
        <v>1</v>
      </c>
    </row>
    <row r="1434" spans="1:16" x14ac:dyDescent="0.3">
      <c r="A1434" t="s">
        <v>65</v>
      </c>
      <c r="B1434" t="s">
        <v>19</v>
      </c>
      <c r="C1434" t="s">
        <v>19</v>
      </c>
      <c r="D1434" t="s">
        <v>14</v>
      </c>
      <c r="E1434" t="s">
        <v>71</v>
      </c>
      <c r="F1434" t="s">
        <v>9</v>
      </c>
      <c r="G1434" s="15">
        <v>62.11</v>
      </c>
      <c r="H1434" t="s">
        <v>26</v>
      </c>
      <c r="I1434">
        <v>2</v>
      </c>
      <c r="J1434" t="s">
        <v>47</v>
      </c>
      <c r="K1434" t="s">
        <v>45</v>
      </c>
      <c r="L1434" t="s">
        <v>45</v>
      </c>
      <c r="M1434" t="s">
        <v>64</v>
      </c>
      <c r="N1434" s="15">
        <v>71.77</v>
      </c>
      <c r="O1434" s="16">
        <v>-13.5</v>
      </c>
      <c r="P1434">
        <v>0</v>
      </c>
    </row>
    <row r="1435" spans="1:16" x14ac:dyDescent="0.3">
      <c r="A1435" t="s">
        <v>60</v>
      </c>
      <c r="B1435" t="s">
        <v>17</v>
      </c>
      <c r="C1435" t="s">
        <v>17</v>
      </c>
      <c r="D1435" t="s">
        <v>15</v>
      </c>
      <c r="E1435" t="s">
        <v>75</v>
      </c>
      <c r="F1435" t="s">
        <v>9</v>
      </c>
      <c r="G1435" s="15">
        <v>110.33</v>
      </c>
      <c r="H1435" t="s">
        <v>26</v>
      </c>
      <c r="I1435">
        <v>2</v>
      </c>
      <c r="J1435" t="s">
        <v>47</v>
      </c>
      <c r="K1435" t="s">
        <v>46</v>
      </c>
      <c r="L1435" t="s">
        <v>46</v>
      </c>
      <c r="M1435" t="s">
        <v>78</v>
      </c>
      <c r="N1435" s="15">
        <v>119</v>
      </c>
      <c r="O1435" s="16">
        <v>-7.3</v>
      </c>
      <c r="P1435">
        <v>0</v>
      </c>
    </row>
    <row r="1436" spans="1:16" x14ac:dyDescent="0.3">
      <c r="A1436" t="s">
        <v>65</v>
      </c>
      <c r="B1436" t="s">
        <v>17</v>
      </c>
      <c r="C1436" t="s">
        <v>17</v>
      </c>
      <c r="D1436" t="s">
        <v>14</v>
      </c>
      <c r="E1436" t="s">
        <v>71</v>
      </c>
      <c r="F1436" t="s">
        <v>9</v>
      </c>
      <c r="G1436" s="15">
        <v>77.349999999999994</v>
      </c>
      <c r="H1436" t="s">
        <v>26</v>
      </c>
      <c r="I1436">
        <v>2</v>
      </c>
      <c r="J1436" t="s">
        <v>48</v>
      </c>
      <c r="K1436" t="s">
        <v>45</v>
      </c>
      <c r="L1436" t="s">
        <v>45</v>
      </c>
      <c r="M1436" t="s">
        <v>78</v>
      </c>
      <c r="N1436" s="15">
        <v>71.77</v>
      </c>
      <c r="O1436" s="16">
        <v>7.8</v>
      </c>
      <c r="P1436">
        <v>0</v>
      </c>
    </row>
    <row r="1437" spans="1:16" x14ac:dyDescent="0.3">
      <c r="A1437" t="s">
        <v>65</v>
      </c>
      <c r="B1437" t="s">
        <v>18</v>
      </c>
      <c r="C1437" t="s">
        <v>18</v>
      </c>
      <c r="D1437" t="s">
        <v>11</v>
      </c>
      <c r="E1437" t="s">
        <v>79</v>
      </c>
      <c r="F1437" t="s">
        <v>9</v>
      </c>
      <c r="G1437" s="15">
        <v>34.47</v>
      </c>
      <c r="H1437" t="s">
        <v>26</v>
      </c>
      <c r="I1437">
        <v>2</v>
      </c>
      <c r="J1437" t="s">
        <v>47</v>
      </c>
      <c r="K1437" t="s">
        <v>45</v>
      </c>
      <c r="L1437" t="s">
        <v>45</v>
      </c>
      <c r="M1437" t="s">
        <v>78</v>
      </c>
      <c r="N1437" s="15">
        <v>33.39</v>
      </c>
      <c r="O1437" s="16">
        <v>3.2</v>
      </c>
      <c r="P1437">
        <v>0</v>
      </c>
    </row>
    <row r="1438" spans="1:16" x14ac:dyDescent="0.3">
      <c r="A1438" t="s">
        <v>65</v>
      </c>
      <c r="B1438" t="s">
        <v>21</v>
      </c>
      <c r="C1438" t="s">
        <v>62</v>
      </c>
      <c r="D1438" t="s">
        <v>12</v>
      </c>
      <c r="E1438" t="s">
        <v>80</v>
      </c>
      <c r="F1438" t="s">
        <v>13</v>
      </c>
      <c r="G1438" s="15">
        <v>200</v>
      </c>
      <c r="H1438" t="s">
        <v>26</v>
      </c>
      <c r="I1438">
        <v>2</v>
      </c>
      <c r="J1438" t="s">
        <v>47</v>
      </c>
      <c r="K1438" t="s">
        <v>45</v>
      </c>
      <c r="L1438" t="s">
        <v>45</v>
      </c>
      <c r="M1438" t="s">
        <v>64</v>
      </c>
      <c r="N1438" s="15">
        <v>176.57</v>
      </c>
      <c r="O1438" s="16">
        <v>13.3</v>
      </c>
      <c r="P1438">
        <v>0</v>
      </c>
    </row>
    <row r="1439" spans="1:16" x14ac:dyDescent="0.3">
      <c r="A1439" t="s">
        <v>57</v>
      </c>
      <c r="B1439" t="s">
        <v>21</v>
      </c>
      <c r="C1439" t="s">
        <v>62</v>
      </c>
      <c r="D1439" t="s">
        <v>8</v>
      </c>
      <c r="E1439" t="s">
        <v>74</v>
      </c>
      <c r="F1439" t="s">
        <v>9</v>
      </c>
      <c r="G1439" s="15">
        <v>75.08</v>
      </c>
      <c r="H1439" t="s">
        <v>27</v>
      </c>
      <c r="I1439">
        <v>3</v>
      </c>
      <c r="J1439" t="s">
        <v>48</v>
      </c>
      <c r="K1439" t="s">
        <v>45</v>
      </c>
      <c r="L1439" t="s">
        <v>45</v>
      </c>
      <c r="M1439" t="s">
        <v>72</v>
      </c>
      <c r="N1439" s="15">
        <v>83.41</v>
      </c>
      <c r="O1439" s="16">
        <v>-10</v>
      </c>
      <c r="P1439">
        <v>0</v>
      </c>
    </row>
    <row r="1440" spans="1:16" x14ac:dyDescent="0.3">
      <c r="A1440" t="s">
        <v>60</v>
      </c>
      <c r="B1440" t="s">
        <v>20</v>
      </c>
      <c r="C1440" t="s">
        <v>20</v>
      </c>
      <c r="D1440" t="s">
        <v>12</v>
      </c>
      <c r="E1440" t="s">
        <v>66</v>
      </c>
      <c r="F1440" t="s">
        <v>13</v>
      </c>
      <c r="G1440" s="15">
        <v>200</v>
      </c>
      <c r="H1440" t="s">
        <v>25</v>
      </c>
      <c r="I1440">
        <v>1</v>
      </c>
      <c r="J1440" t="s">
        <v>47</v>
      </c>
      <c r="K1440" t="s">
        <v>45</v>
      </c>
      <c r="L1440" t="s">
        <v>45</v>
      </c>
      <c r="M1440" t="s">
        <v>72</v>
      </c>
      <c r="N1440" s="15">
        <v>168.34</v>
      </c>
      <c r="O1440" s="16">
        <v>18.8</v>
      </c>
      <c r="P1440">
        <v>1</v>
      </c>
    </row>
    <row r="1441" spans="1:16" x14ac:dyDescent="0.3">
      <c r="A1441" t="s">
        <v>65</v>
      </c>
      <c r="B1441" t="s">
        <v>22</v>
      </c>
      <c r="C1441" t="s">
        <v>22</v>
      </c>
      <c r="D1441" t="s">
        <v>10</v>
      </c>
      <c r="E1441" t="s">
        <v>58</v>
      </c>
      <c r="F1441" t="s">
        <v>9</v>
      </c>
      <c r="G1441" s="15">
        <v>180.9</v>
      </c>
      <c r="H1441" t="s">
        <v>25</v>
      </c>
      <c r="I1441">
        <v>1</v>
      </c>
      <c r="J1441" t="s">
        <v>47</v>
      </c>
      <c r="K1441" t="s">
        <v>45</v>
      </c>
      <c r="L1441" t="s">
        <v>45</v>
      </c>
      <c r="M1441" t="s">
        <v>61</v>
      </c>
      <c r="N1441" s="15">
        <v>166.29</v>
      </c>
      <c r="O1441" s="16">
        <v>8.8000000000000007</v>
      </c>
      <c r="P1441">
        <v>0</v>
      </c>
    </row>
    <row r="1442" spans="1:16" x14ac:dyDescent="0.3">
      <c r="A1442" t="s">
        <v>57</v>
      </c>
      <c r="B1442" t="s">
        <v>20</v>
      </c>
      <c r="C1442" t="s">
        <v>20</v>
      </c>
      <c r="D1442" t="s">
        <v>8</v>
      </c>
      <c r="E1442" t="s">
        <v>73</v>
      </c>
      <c r="F1442" t="s">
        <v>9</v>
      </c>
      <c r="G1442" s="15">
        <v>103.56</v>
      </c>
      <c r="H1442" t="s">
        <v>26</v>
      </c>
      <c r="I1442">
        <v>2</v>
      </c>
      <c r="J1442" t="s">
        <v>47</v>
      </c>
      <c r="K1442" t="s">
        <v>45</v>
      </c>
      <c r="L1442" t="s">
        <v>45</v>
      </c>
      <c r="M1442" t="s">
        <v>59</v>
      </c>
      <c r="N1442" s="15">
        <v>86.06</v>
      </c>
      <c r="O1442" s="16">
        <v>20.3</v>
      </c>
      <c r="P1442">
        <v>1</v>
      </c>
    </row>
    <row r="1443" spans="1:16" x14ac:dyDescent="0.3">
      <c r="A1443" t="s">
        <v>65</v>
      </c>
      <c r="B1443" t="s">
        <v>21</v>
      </c>
      <c r="C1443" t="s">
        <v>62</v>
      </c>
      <c r="D1443" t="s">
        <v>8</v>
      </c>
      <c r="E1443" t="s">
        <v>73</v>
      </c>
      <c r="F1443" t="s">
        <v>9</v>
      </c>
      <c r="G1443" s="15">
        <v>70.959999999999994</v>
      </c>
      <c r="H1443" t="s">
        <v>26</v>
      </c>
      <c r="I1443">
        <v>2</v>
      </c>
      <c r="J1443" t="s">
        <v>47</v>
      </c>
      <c r="K1443" t="s">
        <v>46</v>
      </c>
      <c r="L1443" t="s">
        <v>45</v>
      </c>
      <c r="M1443" t="s">
        <v>67</v>
      </c>
      <c r="N1443" s="15">
        <v>88.05</v>
      </c>
      <c r="O1443" s="16">
        <v>-19.399999999999999</v>
      </c>
      <c r="P1443">
        <v>0</v>
      </c>
    </row>
    <row r="1444" spans="1:16" x14ac:dyDescent="0.3">
      <c r="A1444" t="s">
        <v>57</v>
      </c>
      <c r="B1444" t="s">
        <v>21</v>
      </c>
      <c r="C1444" t="s">
        <v>62</v>
      </c>
      <c r="D1444" t="s">
        <v>15</v>
      </c>
      <c r="E1444" t="s">
        <v>75</v>
      </c>
      <c r="F1444" t="s">
        <v>9</v>
      </c>
      <c r="G1444" s="15">
        <v>132.30000000000001</v>
      </c>
      <c r="H1444" t="s">
        <v>26</v>
      </c>
      <c r="I1444">
        <v>2</v>
      </c>
      <c r="J1444" t="s">
        <v>47</v>
      </c>
      <c r="K1444" t="s">
        <v>45</v>
      </c>
      <c r="L1444" t="s">
        <v>45</v>
      </c>
      <c r="M1444" t="s">
        <v>64</v>
      </c>
      <c r="N1444" s="15">
        <v>120.06</v>
      </c>
      <c r="O1444" s="16">
        <v>10.199999999999999</v>
      </c>
      <c r="P1444">
        <v>0</v>
      </c>
    </row>
    <row r="1445" spans="1:16" x14ac:dyDescent="0.3">
      <c r="A1445" t="s">
        <v>57</v>
      </c>
      <c r="B1445" t="s">
        <v>19</v>
      </c>
      <c r="C1445" t="s">
        <v>19</v>
      </c>
      <c r="D1445" t="s">
        <v>8</v>
      </c>
      <c r="E1445" t="s">
        <v>74</v>
      </c>
      <c r="F1445" t="s">
        <v>9</v>
      </c>
      <c r="G1445" s="15">
        <v>94.99</v>
      </c>
      <c r="H1445" t="s">
        <v>25</v>
      </c>
      <c r="I1445">
        <v>1</v>
      </c>
      <c r="J1445" t="s">
        <v>47</v>
      </c>
      <c r="K1445" t="s">
        <v>45</v>
      </c>
      <c r="L1445" t="s">
        <v>45</v>
      </c>
      <c r="M1445" t="s">
        <v>61</v>
      </c>
      <c r="N1445" s="15">
        <v>83.41</v>
      </c>
      <c r="O1445" s="16">
        <v>13.9</v>
      </c>
      <c r="P1445">
        <v>0</v>
      </c>
    </row>
    <row r="1446" spans="1:16" x14ac:dyDescent="0.3">
      <c r="A1446" t="s">
        <v>65</v>
      </c>
      <c r="B1446" t="s">
        <v>17</v>
      </c>
      <c r="C1446" t="s">
        <v>17</v>
      </c>
      <c r="D1446" t="s">
        <v>10</v>
      </c>
      <c r="E1446" t="s">
        <v>58</v>
      </c>
      <c r="F1446" t="s">
        <v>9</v>
      </c>
      <c r="G1446" s="15">
        <v>157.05000000000001</v>
      </c>
      <c r="H1446" t="s">
        <v>27</v>
      </c>
      <c r="I1446">
        <v>3</v>
      </c>
      <c r="J1446" t="s">
        <v>47</v>
      </c>
      <c r="K1446" t="s">
        <v>45</v>
      </c>
      <c r="L1446" t="s">
        <v>45</v>
      </c>
      <c r="M1446" t="s">
        <v>64</v>
      </c>
      <c r="N1446" s="15">
        <v>166.29</v>
      </c>
      <c r="O1446" s="16">
        <v>-5.6</v>
      </c>
      <c r="P1446">
        <v>0</v>
      </c>
    </row>
    <row r="1447" spans="1:16" x14ac:dyDescent="0.3">
      <c r="A1447" t="s">
        <v>60</v>
      </c>
      <c r="B1447" t="s">
        <v>17</v>
      </c>
      <c r="C1447" t="s">
        <v>17</v>
      </c>
      <c r="D1447" t="s">
        <v>8</v>
      </c>
      <c r="E1447" t="s">
        <v>74</v>
      </c>
      <c r="F1447" t="s">
        <v>9</v>
      </c>
      <c r="G1447" s="15">
        <v>68.790000000000006</v>
      </c>
      <c r="H1447" t="s">
        <v>26</v>
      </c>
      <c r="I1447">
        <v>2</v>
      </c>
      <c r="J1447" t="s">
        <v>48</v>
      </c>
      <c r="K1447" t="s">
        <v>46</v>
      </c>
      <c r="L1447" t="s">
        <v>45</v>
      </c>
      <c r="M1447" t="s">
        <v>72</v>
      </c>
      <c r="N1447" s="15">
        <v>78.260000000000005</v>
      </c>
      <c r="O1447" s="16">
        <v>-12.1</v>
      </c>
      <c r="P1447">
        <v>0</v>
      </c>
    </row>
    <row r="1448" spans="1:16" x14ac:dyDescent="0.3">
      <c r="A1448" t="s">
        <v>60</v>
      </c>
      <c r="B1448" t="s">
        <v>20</v>
      </c>
      <c r="C1448" t="s">
        <v>20</v>
      </c>
      <c r="D1448" t="s">
        <v>11</v>
      </c>
      <c r="E1448" t="s">
        <v>79</v>
      </c>
      <c r="F1448" t="s">
        <v>9</v>
      </c>
      <c r="G1448" s="15">
        <v>31.04</v>
      </c>
      <c r="H1448" t="s">
        <v>27</v>
      </c>
      <c r="I1448">
        <v>3</v>
      </c>
      <c r="J1448" t="s">
        <v>48</v>
      </c>
      <c r="K1448" t="s">
        <v>45</v>
      </c>
      <c r="L1448" t="s">
        <v>45</v>
      </c>
      <c r="M1448" t="s">
        <v>68</v>
      </c>
      <c r="N1448" s="15">
        <v>29.14</v>
      </c>
      <c r="O1448" s="16">
        <v>6.5</v>
      </c>
      <c r="P1448">
        <v>0</v>
      </c>
    </row>
    <row r="1449" spans="1:16" x14ac:dyDescent="0.3">
      <c r="A1449" t="s">
        <v>65</v>
      </c>
      <c r="B1449" t="s">
        <v>21</v>
      </c>
      <c r="C1449" t="s">
        <v>62</v>
      </c>
      <c r="D1449" t="s">
        <v>14</v>
      </c>
      <c r="E1449" t="s">
        <v>71</v>
      </c>
      <c r="F1449" t="s">
        <v>9</v>
      </c>
      <c r="G1449" s="15">
        <v>55.32</v>
      </c>
      <c r="H1449" t="s">
        <v>26</v>
      </c>
      <c r="I1449">
        <v>2</v>
      </c>
      <c r="J1449" t="s">
        <v>47</v>
      </c>
      <c r="K1449" t="s">
        <v>46</v>
      </c>
      <c r="L1449" t="s">
        <v>45</v>
      </c>
      <c r="M1449" t="s">
        <v>78</v>
      </c>
      <c r="N1449" s="15">
        <v>71.77</v>
      </c>
      <c r="O1449" s="16">
        <v>-22.9</v>
      </c>
      <c r="P1449">
        <v>0</v>
      </c>
    </row>
    <row r="1450" spans="1:16" x14ac:dyDescent="0.3">
      <c r="A1450" t="s">
        <v>65</v>
      </c>
      <c r="B1450" t="s">
        <v>17</v>
      </c>
      <c r="C1450" t="s">
        <v>17</v>
      </c>
      <c r="D1450" t="s">
        <v>10</v>
      </c>
      <c r="E1450" t="s">
        <v>58</v>
      </c>
      <c r="F1450" t="s">
        <v>9</v>
      </c>
      <c r="G1450" s="15">
        <v>180.84</v>
      </c>
      <c r="H1450" t="s">
        <v>26</v>
      </c>
      <c r="I1450">
        <v>2</v>
      </c>
      <c r="J1450" t="s">
        <v>47</v>
      </c>
      <c r="K1450" t="s">
        <v>45</v>
      </c>
      <c r="L1450" t="s">
        <v>45</v>
      </c>
      <c r="M1450" t="s">
        <v>68</v>
      </c>
      <c r="N1450" s="15">
        <v>166.29</v>
      </c>
      <c r="O1450" s="16">
        <v>8.6999999999999993</v>
      </c>
      <c r="P1450">
        <v>0</v>
      </c>
    </row>
    <row r="1451" spans="1:16" x14ac:dyDescent="0.3">
      <c r="A1451" t="s">
        <v>65</v>
      </c>
      <c r="B1451" t="s">
        <v>18</v>
      </c>
      <c r="C1451" t="s">
        <v>18</v>
      </c>
      <c r="D1451" t="s">
        <v>8</v>
      </c>
      <c r="E1451" t="s">
        <v>73</v>
      </c>
      <c r="F1451" t="s">
        <v>9</v>
      </c>
      <c r="G1451" s="15">
        <v>75.239999999999995</v>
      </c>
      <c r="H1451" t="s">
        <v>26</v>
      </c>
      <c r="I1451">
        <v>2</v>
      </c>
      <c r="J1451" t="s">
        <v>47</v>
      </c>
      <c r="K1451" t="s">
        <v>46</v>
      </c>
      <c r="L1451" t="s">
        <v>45</v>
      </c>
      <c r="M1451" t="s">
        <v>68</v>
      </c>
      <c r="N1451" s="15">
        <v>88.05</v>
      </c>
      <c r="O1451" s="16">
        <v>-14.5</v>
      </c>
      <c r="P1451">
        <v>0</v>
      </c>
    </row>
    <row r="1452" spans="1:16" x14ac:dyDescent="0.3">
      <c r="A1452" t="s">
        <v>57</v>
      </c>
      <c r="B1452" t="s">
        <v>18</v>
      </c>
      <c r="C1452" t="s">
        <v>18</v>
      </c>
      <c r="D1452" t="s">
        <v>11</v>
      </c>
      <c r="E1452" t="s">
        <v>70</v>
      </c>
      <c r="F1452" t="s">
        <v>9</v>
      </c>
      <c r="G1452" s="15">
        <v>40</v>
      </c>
      <c r="H1452" t="s">
        <v>25</v>
      </c>
      <c r="I1452">
        <v>1</v>
      </c>
      <c r="J1452" t="s">
        <v>48</v>
      </c>
      <c r="K1452" t="s">
        <v>45</v>
      </c>
      <c r="L1452" t="s">
        <v>46</v>
      </c>
      <c r="M1452" t="s">
        <v>59</v>
      </c>
      <c r="N1452" s="15">
        <v>30.5</v>
      </c>
      <c r="O1452" s="16">
        <v>31.1</v>
      </c>
      <c r="P1452">
        <v>1</v>
      </c>
    </row>
    <row r="1453" spans="1:16" x14ac:dyDescent="0.3">
      <c r="A1453" t="s">
        <v>57</v>
      </c>
      <c r="B1453" t="s">
        <v>17</v>
      </c>
      <c r="C1453" t="s">
        <v>17</v>
      </c>
      <c r="D1453" t="s">
        <v>15</v>
      </c>
      <c r="E1453" t="s">
        <v>75</v>
      </c>
      <c r="F1453" t="s">
        <v>9</v>
      </c>
      <c r="G1453" s="15">
        <v>140</v>
      </c>
      <c r="H1453" t="s">
        <v>26</v>
      </c>
      <c r="I1453">
        <v>2</v>
      </c>
      <c r="J1453" t="s">
        <v>44</v>
      </c>
      <c r="K1453" t="s">
        <v>45</v>
      </c>
      <c r="L1453" t="s">
        <v>45</v>
      </c>
      <c r="M1453" t="s">
        <v>78</v>
      </c>
      <c r="N1453" s="15">
        <v>120.06</v>
      </c>
      <c r="O1453" s="16">
        <v>16.600000000000001</v>
      </c>
      <c r="P1453">
        <v>1</v>
      </c>
    </row>
    <row r="1454" spans="1:16" x14ac:dyDescent="0.3">
      <c r="A1454" t="s">
        <v>60</v>
      </c>
      <c r="B1454" t="s">
        <v>22</v>
      </c>
      <c r="C1454" t="s">
        <v>22</v>
      </c>
      <c r="D1454" t="s">
        <v>11</v>
      </c>
      <c r="E1454" t="s">
        <v>79</v>
      </c>
      <c r="F1454" t="s">
        <v>9</v>
      </c>
      <c r="G1454" s="15">
        <v>26.63</v>
      </c>
      <c r="H1454" t="s">
        <v>26</v>
      </c>
      <c r="I1454">
        <v>2</v>
      </c>
      <c r="J1454" t="s">
        <v>48</v>
      </c>
      <c r="K1454" t="s">
        <v>46</v>
      </c>
      <c r="L1454" t="s">
        <v>45</v>
      </c>
      <c r="M1454" t="s">
        <v>61</v>
      </c>
      <c r="N1454" s="15">
        <v>29.14</v>
      </c>
      <c r="O1454" s="16">
        <v>-8.6</v>
      </c>
      <c r="P1454">
        <v>0</v>
      </c>
    </row>
    <row r="1455" spans="1:16" x14ac:dyDescent="0.3">
      <c r="A1455" t="s">
        <v>57</v>
      </c>
      <c r="B1455" t="s">
        <v>22</v>
      </c>
      <c r="C1455" t="s">
        <v>22</v>
      </c>
      <c r="D1455" t="s">
        <v>12</v>
      </c>
      <c r="E1455" t="s">
        <v>80</v>
      </c>
      <c r="F1455" t="s">
        <v>13</v>
      </c>
      <c r="G1455" s="15">
        <v>135.19999999999999</v>
      </c>
      <c r="H1455" t="s">
        <v>26</v>
      </c>
      <c r="I1455">
        <v>2</v>
      </c>
      <c r="J1455" t="s">
        <v>48</v>
      </c>
      <c r="K1455" t="s">
        <v>46</v>
      </c>
      <c r="L1455" t="s">
        <v>45</v>
      </c>
      <c r="M1455" t="s">
        <v>72</v>
      </c>
      <c r="N1455" s="15">
        <v>162.72999999999999</v>
      </c>
      <c r="O1455" s="16">
        <v>-16.899999999999999</v>
      </c>
      <c r="P1455">
        <v>0</v>
      </c>
    </row>
    <row r="1456" spans="1:16" x14ac:dyDescent="0.3">
      <c r="A1456" t="s">
        <v>65</v>
      </c>
      <c r="B1456" t="s">
        <v>20</v>
      </c>
      <c r="C1456" t="s">
        <v>20</v>
      </c>
      <c r="D1456" t="s">
        <v>14</v>
      </c>
      <c r="E1456" t="s">
        <v>71</v>
      </c>
      <c r="F1456" t="s">
        <v>9</v>
      </c>
      <c r="G1456" s="15">
        <v>72.58</v>
      </c>
      <c r="H1456" t="s">
        <v>26</v>
      </c>
      <c r="I1456">
        <v>2</v>
      </c>
      <c r="J1456" t="s">
        <v>47</v>
      </c>
      <c r="K1456" t="s">
        <v>45</v>
      </c>
      <c r="L1456" t="s">
        <v>46</v>
      </c>
      <c r="M1456" t="s">
        <v>64</v>
      </c>
      <c r="N1456" s="15">
        <v>71.77</v>
      </c>
      <c r="O1456" s="16">
        <v>1.1000000000000001</v>
      </c>
      <c r="P1456">
        <v>0</v>
      </c>
    </row>
    <row r="1457" spans="1:16" x14ac:dyDescent="0.3">
      <c r="A1457" t="s">
        <v>65</v>
      </c>
      <c r="B1457" t="s">
        <v>18</v>
      </c>
      <c r="C1457" t="s">
        <v>18</v>
      </c>
      <c r="D1457" t="s">
        <v>10</v>
      </c>
      <c r="E1457" t="s">
        <v>69</v>
      </c>
      <c r="F1457" t="s">
        <v>9</v>
      </c>
      <c r="G1457" s="15">
        <v>168.74</v>
      </c>
      <c r="H1457" t="s">
        <v>25</v>
      </c>
      <c r="I1457">
        <v>1</v>
      </c>
      <c r="J1457" t="s">
        <v>44</v>
      </c>
      <c r="K1457" t="s">
        <v>45</v>
      </c>
      <c r="L1457" t="s">
        <v>45</v>
      </c>
      <c r="M1457" t="s">
        <v>68</v>
      </c>
      <c r="N1457" s="15">
        <v>158.91999999999999</v>
      </c>
      <c r="O1457" s="16">
        <v>6.2</v>
      </c>
      <c r="P1457">
        <v>0</v>
      </c>
    </row>
    <row r="1458" spans="1:16" x14ac:dyDescent="0.3">
      <c r="A1458" t="s">
        <v>65</v>
      </c>
      <c r="B1458" t="s">
        <v>19</v>
      </c>
      <c r="C1458" t="s">
        <v>19</v>
      </c>
      <c r="D1458" t="s">
        <v>12</v>
      </c>
      <c r="E1458" t="s">
        <v>80</v>
      </c>
      <c r="F1458" t="s">
        <v>13</v>
      </c>
      <c r="G1458" s="15">
        <v>154.86000000000001</v>
      </c>
      <c r="H1458" t="s">
        <v>26</v>
      </c>
      <c r="I1458">
        <v>2</v>
      </c>
      <c r="J1458" t="s">
        <v>48</v>
      </c>
      <c r="K1458" t="s">
        <v>45</v>
      </c>
      <c r="L1458" t="s">
        <v>45</v>
      </c>
      <c r="M1458" t="s">
        <v>59</v>
      </c>
      <c r="N1458" s="15">
        <v>176.57</v>
      </c>
      <c r="O1458" s="16">
        <v>-12.3</v>
      </c>
      <c r="P1458">
        <v>0</v>
      </c>
    </row>
    <row r="1459" spans="1:16" x14ac:dyDescent="0.3">
      <c r="A1459" t="s">
        <v>57</v>
      </c>
      <c r="B1459" t="s">
        <v>22</v>
      </c>
      <c r="C1459" t="s">
        <v>22</v>
      </c>
      <c r="D1459" t="s">
        <v>10</v>
      </c>
      <c r="E1459" t="s">
        <v>58</v>
      </c>
      <c r="F1459" t="s">
        <v>9</v>
      </c>
      <c r="G1459" s="15">
        <v>178.61</v>
      </c>
      <c r="H1459" t="s">
        <v>25</v>
      </c>
      <c r="I1459">
        <v>1</v>
      </c>
      <c r="J1459" t="s">
        <v>47</v>
      </c>
      <c r="K1459" t="s">
        <v>45</v>
      </c>
      <c r="L1459" t="s">
        <v>45</v>
      </c>
      <c r="M1459" t="s">
        <v>59</v>
      </c>
      <c r="N1459" s="15">
        <v>151.19</v>
      </c>
      <c r="O1459" s="16">
        <v>18.100000000000001</v>
      </c>
      <c r="P1459">
        <v>1</v>
      </c>
    </row>
    <row r="1460" spans="1:16" x14ac:dyDescent="0.3">
      <c r="A1460" t="s">
        <v>57</v>
      </c>
      <c r="B1460" t="s">
        <v>22</v>
      </c>
      <c r="C1460" t="s">
        <v>22</v>
      </c>
      <c r="D1460" t="s">
        <v>12</v>
      </c>
      <c r="E1460" t="s">
        <v>80</v>
      </c>
      <c r="F1460" t="s">
        <v>13</v>
      </c>
      <c r="G1460" s="15">
        <v>147.24</v>
      </c>
      <c r="H1460" t="s">
        <v>26</v>
      </c>
      <c r="I1460">
        <v>2</v>
      </c>
      <c r="J1460" t="s">
        <v>48</v>
      </c>
      <c r="K1460" t="s">
        <v>46</v>
      </c>
      <c r="L1460" t="s">
        <v>45</v>
      </c>
      <c r="M1460" t="s">
        <v>61</v>
      </c>
      <c r="N1460" s="15">
        <v>162.72999999999999</v>
      </c>
      <c r="O1460" s="16">
        <v>-9.5</v>
      </c>
      <c r="P1460">
        <v>0</v>
      </c>
    </row>
    <row r="1461" spans="1:16" x14ac:dyDescent="0.3">
      <c r="A1461" t="s">
        <v>65</v>
      </c>
      <c r="B1461" t="s">
        <v>18</v>
      </c>
      <c r="C1461" t="s">
        <v>18</v>
      </c>
      <c r="D1461" t="s">
        <v>11</v>
      </c>
      <c r="E1461" t="s">
        <v>70</v>
      </c>
      <c r="F1461" t="s">
        <v>9</v>
      </c>
      <c r="G1461" s="15">
        <v>33.409999999999997</v>
      </c>
      <c r="H1461" t="s">
        <v>26</v>
      </c>
      <c r="I1461">
        <v>2</v>
      </c>
      <c r="J1461" t="s">
        <v>47</v>
      </c>
      <c r="K1461" t="s">
        <v>45</v>
      </c>
      <c r="L1461" t="s">
        <v>45</v>
      </c>
      <c r="M1461" t="s">
        <v>64</v>
      </c>
      <c r="N1461" s="15">
        <v>32.630000000000003</v>
      </c>
      <c r="O1461" s="16">
        <v>2.4</v>
      </c>
      <c r="P1461">
        <v>0</v>
      </c>
    </row>
    <row r="1462" spans="1:16" x14ac:dyDescent="0.3">
      <c r="A1462" t="s">
        <v>57</v>
      </c>
      <c r="B1462" t="s">
        <v>17</v>
      </c>
      <c r="C1462" t="s">
        <v>17</v>
      </c>
      <c r="D1462" t="s">
        <v>11</v>
      </c>
      <c r="E1462" t="s">
        <v>70</v>
      </c>
      <c r="F1462" t="s">
        <v>9</v>
      </c>
      <c r="G1462" s="15">
        <v>29.31</v>
      </c>
      <c r="H1462" t="s">
        <v>26</v>
      </c>
      <c r="I1462">
        <v>2</v>
      </c>
      <c r="J1462" t="s">
        <v>47</v>
      </c>
      <c r="K1462" t="s">
        <v>46</v>
      </c>
      <c r="L1462" t="s">
        <v>45</v>
      </c>
      <c r="M1462" t="s">
        <v>61</v>
      </c>
      <c r="N1462" s="15">
        <v>30.5</v>
      </c>
      <c r="O1462" s="16">
        <v>-3.9</v>
      </c>
      <c r="P1462">
        <v>0</v>
      </c>
    </row>
    <row r="1463" spans="1:16" x14ac:dyDescent="0.3">
      <c r="A1463" t="s">
        <v>60</v>
      </c>
      <c r="B1463" t="s">
        <v>22</v>
      </c>
      <c r="C1463" t="s">
        <v>22</v>
      </c>
      <c r="D1463" t="s">
        <v>8</v>
      </c>
      <c r="E1463" t="s">
        <v>73</v>
      </c>
      <c r="F1463" t="s">
        <v>9</v>
      </c>
      <c r="G1463" s="15">
        <v>70.44</v>
      </c>
      <c r="H1463" t="s">
        <v>26</v>
      </c>
      <c r="I1463">
        <v>2</v>
      </c>
      <c r="J1463" t="s">
        <v>48</v>
      </c>
      <c r="K1463" t="s">
        <v>46</v>
      </c>
      <c r="L1463" t="s">
        <v>46</v>
      </c>
      <c r="M1463" t="s">
        <v>68</v>
      </c>
      <c r="N1463" s="15">
        <v>82.04</v>
      </c>
      <c r="O1463" s="16">
        <v>-14.1</v>
      </c>
      <c r="P1463">
        <v>0</v>
      </c>
    </row>
    <row r="1464" spans="1:16" x14ac:dyDescent="0.3">
      <c r="A1464" t="s">
        <v>60</v>
      </c>
      <c r="B1464" t="s">
        <v>19</v>
      </c>
      <c r="C1464" t="s">
        <v>19</v>
      </c>
      <c r="D1464" t="s">
        <v>15</v>
      </c>
      <c r="E1464" t="s">
        <v>75</v>
      </c>
      <c r="F1464" t="s">
        <v>9</v>
      </c>
      <c r="G1464" s="15">
        <v>111.43</v>
      </c>
      <c r="H1464" t="s">
        <v>26</v>
      </c>
      <c r="I1464">
        <v>2</v>
      </c>
      <c r="J1464" t="s">
        <v>48</v>
      </c>
      <c r="K1464" t="s">
        <v>45</v>
      </c>
      <c r="L1464" t="s">
        <v>45</v>
      </c>
      <c r="M1464" t="s">
        <v>72</v>
      </c>
      <c r="N1464" s="15">
        <v>119</v>
      </c>
      <c r="O1464" s="16">
        <v>-6.4</v>
      </c>
      <c r="P1464">
        <v>0</v>
      </c>
    </row>
    <row r="1465" spans="1:16" x14ac:dyDescent="0.3">
      <c r="A1465" t="s">
        <v>57</v>
      </c>
      <c r="B1465" t="s">
        <v>21</v>
      </c>
      <c r="C1465" t="s">
        <v>62</v>
      </c>
      <c r="D1465" t="s">
        <v>12</v>
      </c>
      <c r="E1465" t="s">
        <v>80</v>
      </c>
      <c r="F1465" t="s">
        <v>13</v>
      </c>
      <c r="G1465" s="15">
        <v>180.04</v>
      </c>
      <c r="H1465" t="s">
        <v>26</v>
      </c>
      <c r="I1465">
        <v>2</v>
      </c>
      <c r="J1465" t="s">
        <v>48</v>
      </c>
      <c r="K1465" t="s">
        <v>45</v>
      </c>
      <c r="L1465" t="s">
        <v>45</v>
      </c>
      <c r="M1465" t="s">
        <v>72</v>
      </c>
      <c r="N1465" s="15">
        <v>162.72999999999999</v>
      </c>
      <c r="O1465" s="16">
        <v>10.6</v>
      </c>
      <c r="P1465">
        <v>0</v>
      </c>
    </row>
    <row r="1466" spans="1:16" x14ac:dyDescent="0.3">
      <c r="A1466" t="s">
        <v>57</v>
      </c>
      <c r="B1466" t="s">
        <v>18</v>
      </c>
      <c r="C1466" t="s">
        <v>18</v>
      </c>
      <c r="D1466" t="s">
        <v>8</v>
      </c>
      <c r="E1466" t="s">
        <v>74</v>
      </c>
      <c r="F1466" t="s">
        <v>9</v>
      </c>
      <c r="G1466" s="15">
        <v>62.23</v>
      </c>
      <c r="H1466" t="s">
        <v>26</v>
      </c>
      <c r="I1466">
        <v>2</v>
      </c>
      <c r="J1466" t="s">
        <v>47</v>
      </c>
      <c r="K1466" t="s">
        <v>46</v>
      </c>
      <c r="L1466" t="s">
        <v>45</v>
      </c>
      <c r="M1466" t="s">
        <v>64</v>
      </c>
      <c r="N1466" s="15">
        <v>83.41</v>
      </c>
      <c r="O1466" s="16">
        <v>-25.4</v>
      </c>
      <c r="P1466">
        <v>0</v>
      </c>
    </row>
    <row r="1467" spans="1:16" x14ac:dyDescent="0.3">
      <c r="A1467" t="s">
        <v>60</v>
      </c>
      <c r="B1467" t="s">
        <v>21</v>
      </c>
      <c r="C1467" t="s">
        <v>62</v>
      </c>
      <c r="D1467" t="s">
        <v>14</v>
      </c>
      <c r="E1467" t="s">
        <v>71</v>
      </c>
      <c r="F1467" t="s">
        <v>9</v>
      </c>
      <c r="G1467" s="15">
        <v>66.150000000000006</v>
      </c>
      <c r="H1467" t="s">
        <v>25</v>
      </c>
      <c r="I1467">
        <v>1</v>
      </c>
      <c r="J1467" t="s">
        <v>48</v>
      </c>
      <c r="K1467" t="s">
        <v>46</v>
      </c>
      <c r="L1467" t="s">
        <v>45</v>
      </c>
      <c r="M1467" t="s">
        <v>61</v>
      </c>
      <c r="N1467" s="15">
        <v>65.239999999999995</v>
      </c>
      <c r="O1467" s="16">
        <v>1.4</v>
      </c>
      <c r="P1467">
        <v>0</v>
      </c>
    </row>
    <row r="1468" spans="1:16" x14ac:dyDescent="0.3">
      <c r="A1468" t="s">
        <v>57</v>
      </c>
      <c r="B1468" t="s">
        <v>21</v>
      </c>
      <c r="C1468" t="s">
        <v>62</v>
      </c>
      <c r="D1468" t="s">
        <v>8</v>
      </c>
      <c r="E1468" t="s">
        <v>73</v>
      </c>
      <c r="F1468" t="s">
        <v>9</v>
      </c>
      <c r="G1468" s="15">
        <v>100.11</v>
      </c>
      <c r="H1468" t="s">
        <v>27</v>
      </c>
      <c r="I1468">
        <v>3</v>
      </c>
      <c r="J1468" t="s">
        <v>48</v>
      </c>
      <c r="K1468" t="s">
        <v>45</v>
      </c>
      <c r="L1468" t="s">
        <v>45</v>
      </c>
      <c r="M1468" t="s">
        <v>61</v>
      </c>
      <c r="N1468" s="15">
        <v>86.06</v>
      </c>
      <c r="O1468" s="16">
        <v>16.3</v>
      </c>
      <c r="P1468">
        <v>1</v>
      </c>
    </row>
    <row r="1469" spans="1:16" x14ac:dyDescent="0.3">
      <c r="A1469" t="s">
        <v>65</v>
      </c>
      <c r="B1469" t="s">
        <v>21</v>
      </c>
      <c r="C1469" t="s">
        <v>62</v>
      </c>
      <c r="D1469" t="s">
        <v>12</v>
      </c>
      <c r="E1469" t="s">
        <v>66</v>
      </c>
      <c r="F1469" t="s">
        <v>13</v>
      </c>
      <c r="G1469" s="15">
        <v>190.53</v>
      </c>
      <c r="H1469" t="s">
        <v>26</v>
      </c>
      <c r="I1469">
        <v>2</v>
      </c>
      <c r="J1469" t="s">
        <v>44</v>
      </c>
      <c r="K1469" t="s">
        <v>46</v>
      </c>
      <c r="L1469" t="s">
        <v>45</v>
      </c>
      <c r="M1469" t="s">
        <v>59</v>
      </c>
      <c r="N1469" s="15">
        <v>178.49</v>
      </c>
      <c r="O1469" s="16">
        <v>6.7</v>
      </c>
      <c r="P1469">
        <v>0</v>
      </c>
    </row>
    <row r="1470" spans="1:16" x14ac:dyDescent="0.3">
      <c r="A1470" t="s">
        <v>60</v>
      </c>
      <c r="B1470" t="s">
        <v>21</v>
      </c>
      <c r="C1470" t="s">
        <v>62</v>
      </c>
      <c r="D1470" t="s">
        <v>10</v>
      </c>
      <c r="E1470" t="s">
        <v>58</v>
      </c>
      <c r="F1470" t="s">
        <v>9</v>
      </c>
      <c r="G1470" s="15">
        <v>189.06</v>
      </c>
      <c r="H1470" t="s">
        <v>26</v>
      </c>
      <c r="I1470">
        <v>2</v>
      </c>
      <c r="J1470" t="s">
        <v>48</v>
      </c>
      <c r="K1470" t="s">
        <v>45</v>
      </c>
      <c r="L1470" t="s">
        <v>46</v>
      </c>
      <c r="M1470" t="s">
        <v>68</v>
      </c>
      <c r="N1470" s="15">
        <v>152.03</v>
      </c>
      <c r="O1470" s="16">
        <v>24.4</v>
      </c>
      <c r="P1470">
        <v>1</v>
      </c>
    </row>
    <row r="1471" spans="1:16" x14ac:dyDescent="0.3">
      <c r="A1471" t="s">
        <v>65</v>
      </c>
      <c r="B1471" t="s">
        <v>21</v>
      </c>
      <c r="C1471" t="s">
        <v>62</v>
      </c>
      <c r="D1471" t="s">
        <v>14</v>
      </c>
      <c r="E1471" t="s">
        <v>77</v>
      </c>
      <c r="F1471" t="s">
        <v>9</v>
      </c>
      <c r="G1471" s="15">
        <v>69.069999999999993</v>
      </c>
      <c r="H1471" t="s">
        <v>25</v>
      </c>
      <c r="I1471">
        <v>1</v>
      </c>
      <c r="J1471" t="s">
        <v>48</v>
      </c>
      <c r="K1471" t="s">
        <v>46</v>
      </c>
      <c r="L1471" t="s">
        <v>45</v>
      </c>
      <c r="M1471" t="s">
        <v>72</v>
      </c>
      <c r="N1471" s="15">
        <v>70.66</v>
      </c>
      <c r="O1471" s="16">
        <v>-2.2999999999999998</v>
      </c>
      <c r="P1471">
        <v>0</v>
      </c>
    </row>
    <row r="1472" spans="1:16" x14ac:dyDescent="0.3">
      <c r="A1472" t="s">
        <v>60</v>
      </c>
      <c r="B1472" t="s">
        <v>17</v>
      </c>
      <c r="C1472" t="s">
        <v>17</v>
      </c>
      <c r="D1472" t="s">
        <v>11</v>
      </c>
      <c r="E1472" t="s">
        <v>70</v>
      </c>
      <c r="F1472" t="s">
        <v>9</v>
      </c>
      <c r="G1472" s="15">
        <v>32.049999999999997</v>
      </c>
      <c r="H1472" t="s">
        <v>26</v>
      </c>
      <c r="I1472">
        <v>2</v>
      </c>
      <c r="J1472" t="s">
        <v>48</v>
      </c>
      <c r="K1472" t="s">
        <v>45</v>
      </c>
      <c r="L1472" t="s">
        <v>46</v>
      </c>
      <c r="M1472" t="s">
        <v>64</v>
      </c>
      <c r="N1472" s="15">
        <v>31.4</v>
      </c>
      <c r="O1472" s="16">
        <v>2.1</v>
      </c>
      <c r="P1472">
        <v>0</v>
      </c>
    </row>
    <row r="1473" spans="1:16" x14ac:dyDescent="0.3">
      <c r="A1473" t="s">
        <v>65</v>
      </c>
      <c r="B1473" t="s">
        <v>19</v>
      </c>
      <c r="C1473" t="s">
        <v>19</v>
      </c>
      <c r="D1473" t="s">
        <v>11</v>
      </c>
      <c r="E1473" t="s">
        <v>70</v>
      </c>
      <c r="F1473" t="s">
        <v>9</v>
      </c>
      <c r="G1473" s="15">
        <v>33.22</v>
      </c>
      <c r="H1473" t="s">
        <v>26</v>
      </c>
      <c r="I1473">
        <v>2</v>
      </c>
      <c r="J1473" t="s">
        <v>47</v>
      </c>
      <c r="K1473" t="s">
        <v>45</v>
      </c>
      <c r="L1473" t="s">
        <v>45</v>
      </c>
      <c r="M1473" t="s">
        <v>61</v>
      </c>
      <c r="N1473" s="15">
        <v>32.630000000000003</v>
      </c>
      <c r="O1473" s="16">
        <v>1.8</v>
      </c>
      <c r="P1473">
        <v>0</v>
      </c>
    </row>
    <row r="1474" spans="1:16" x14ac:dyDescent="0.3">
      <c r="A1474" t="s">
        <v>65</v>
      </c>
      <c r="B1474" t="s">
        <v>17</v>
      </c>
      <c r="C1474" t="s">
        <v>17</v>
      </c>
      <c r="D1474" t="s">
        <v>8</v>
      </c>
      <c r="E1474" t="s">
        <v>73</v>
      </c>
      <c r="F1474" t="s">
        <v>9</v>
      </c>
      <c r="G1474" s="15">
        <v>70.67</v>
      </c>
      <c r="H1474" t="s">
        <v>26</v>
      </c>
      <c r="I1474">
        <v>2</v>
      </c>
      <c r="J1474" t="s">
        <v>47</v>
      </c>
      <c r="K1474" t="s">
        <v>46</v>
      </c>
      <c r="L1474" t="s">
        <v>45</v>
      </c>
      <c r="M1474" t="s">
        <v>67</v>
      </c>
      <c r="N1474" s="15">
        <v>88.05</v>
      </c>
      <c r="O1474" s="16">
        <v>-19.7</v>
      </c>
      <c r="P1474">
        <v>0</v>
      </c>
    </row>
    <row r="1475" spans="1:16" x14ac:dyDescent="0.3">
      <c r="A1475" t="s">
        <v>60</v>
      </c>
      <c r="B1475" t="s">
        <v>21</v>
      </c>
      <c r="C1475" t="s">
        <v>62</v>
      </c>
      <c r="D1475" t="s">
        <v>8</v>
      </c>
      <c r="E1475" t="s">
        <v>74</v>
      </c>
      <c r="F1475" t="s">
        <v>9</v>
      </c>
      <c r="G1475" s="15">
        <v>76.989999999999995</v>
      </c>
      <c r="H1475" t="s">
        <v>26</v>
      </c>
      <c r="I1475">
        <v>2</v>
      </c>
      <c r="J1475" t="s">
        <v>48</v>
      </c>
      <c r="K1475" t="s">
        <v>46</v>
      </c>
      <c r="L1475" t="s">
        <v>45</v>
      </c>
      <c r="M1475" t="s">
        <v>78</v>
      </c>
      <c r="N1475" s="15">
        <v>78.260000000000005</v>
      </c>
      <c r="O1475" s="16">
        <v>-1.6</v>
      </c>
      <c r="P1475">
        <v>0</v>
      </c>
    </row>
    <row r="1476" spans="1:16" x14ac:dyDescent="0.3">
      <c r="A1476" t="s">
        <v>60</v>
      </c>
      <c r="B1476" t="s">
        <v>21</v>
      </c>
      <c r="C1476" t="s">
        <v>62</v>
      </c>
      <c r="D1476" t="s">
        <v>15</v>
      </c>
      <c r="E1476" t="s">
        <v>75</v>
      </c>
      <c r="F1476" t="s">
        <v>9</v>
      </c>
      <c r="G1476" s="15">
        <v>104.15</v>
      </c>
      <c r="H1476" t="s">
        <v>27</v>
      </c>
      <c r="I1476">
        <v>3</v>
      </c>
      <c r="J1476" t="s">
        <v>48</v>
      </c>
      <c r="K1476" t="s">
        <v>46</v>
      </c>
      <c r="L1476" t="s">
        <v>45</v>
      </c>
      <c r="M1476" t="s">
        <v>59</v>
      </c>
      <c r="N1476" s="15">
        <v>119</v>
      </c>
      <c r="O1476" s="16">
        <v>-12.5</v>
      </c>
      <c r="P1476">
        <v>0</v>
      </c>
    </row>
    <row r="1477" spans="1:16" x14ac:dyDescent="0.3">
      <c r="A1477" t="s">
        <v>65</v>
      </c>
      <c r="B1477" t="s">
        <v>22</v>
      </c>
      <c r="C1477" t="s">
        <v>22</v>
      </c>
      <c r="D1477" t="s">
        <v>8</v>
      </c>
      <c r="E1477" t="s">
        <v>74</v>
      </c>
      <c r="F1477" t="s">
        <v>9</v>
      </c>
      <c r="G1477" s="15">
        <v>104.82</v>
      </c>
      <c r="H1477" t="s">
        <v>25</v>
      </c>
      <c r="I1477">
        <v>1</v>
      </c>
      <c r="J1477" t="s">
        <v>48</v>
      </c>
      <c r="K1477" t="s">
        <v>45</v>
      </c>
      <c r="L1477" t="s">
        <v>45</v>
      </c>
      <c r="M1477" t="s">
        <v>61</v>
      </c>
      <c r="N1477" s="15">
        <v>91.13</v>
      </c>
      <c r="O1477" s="16">
        <v>15</v>
      </c>
      <c r="P1477">
        <v>0</v>
      </c>
    </row>
    <row r="1478" spans="1:16" x14ac:dyDescent="0.3">
      <c r="A1478" t="s">
        <v>65</v>
      </c>
      <c r="B1478" t="s">
        <v>18</v>
      </c>
      <c r="C1478" t="s">
        <v>18</v>
      </c>
      <c r="D1478" t="s">
        <v>11</v>
      </c>
      <c r="E1478" t="s">
        <v>70</v>
      </c>
      <c r="F1478" t="s">
        <v>9</v>
      </c>
      <c r="G1478" s="15">
        <v>29.61</v>
      </c>
      <c r="H1478" t="s">
        <v>26</v>
      </c>
      <c r="I1478">
        <v>2</v>
      </c>
      <c r="J1478" t="s">
        <v>47</v>
      </c>
      <c r="K1478" t="s">
        <v>45</v>
      </c>
      <c r="L1478" t="s">
        <v>45</v>
      </c>
      <c r="M1478" t="s">
        <v>64</v>
      </c>
      <c r="N1478" s="15">
        <v>32.630000000000003</v>
      </c>
      <c r="O1478" s="16">
        <v>-9.3000000000000007</v>
      </c>
      <c r="P1478">
        <v>0</v>
      </c>
    </row>
    <row r="1479" spans="1:16" x14ac:dyDescent="0.3">
      <c r="A1479" t="s">
        <v>65</v>
      </c>
      <c r="B1479" t="s">
        <v>21</v>
      </c>
      <c r="C1479" t="s">
        <v>62</v>
      </c>
      <c r="D1479" t="s">
        <v>14</v>
      </c>
      <c r="E1479" t="s">
        <v>71</v>
      </c>
      <c r="F1479" t="s">
        <v>9</v>
      </c>
      <c r="G1479" s="15">
        <v>69.05</v>
      </c>
      <c r="H1479" t="s">
        <v>26</v>
      </c>
      <c r="I1479">
        <v>2</v>
      </c>
      <c r="J1479" t="s">
        <v>47</v>
      </c>
      <c r="K1479" t="s">
        <v>46</v>
      </c>
      <c r="L1479" t="s">
        <v>45</v>
      </c>
      <c r="M1479" t="s">
        <v>64</v>
      </c>
      <c r="N1479" s="15">
        <v>71.77</v>
      </c>
      <c r="O1479" s="16">
        <v>-3.8</v>
      </c>
      <c r="P1479">
        <v>0</v>
      </c>
    </row>
    <row r="1480" spans="1:16" x14ac:dyDescent="0.3">
      <c r="A1480" t="s">
        <v>60</v>
      </c>
      <c r="B1480" t="s">
        <v>20</v>
      </c>
      <c r="C1480" t="s">
        <v>20</v>
      </c>
      <c r="D1480" t="s">
        <v>15</v>
      </c>
      <c r="E1480" t="s">
        <v>76</v>
      </c>
      <c r="F1480" t="s">
        <v>9</v>
      </c>
      <c r="G1480" s="15">
        <v>119.96</v>
      </c>
      <c r="H1480" t="s">
        <v>26</v>
      </c>
      <c r="I1480">
        <v>2</v>
      </c>
      <c r="J1480" t="s">
        <v>48</v>
      </c>
      <c r="K1480" t="s">
        <v>45</v>
      </c>
      <c r="L1480" t="s">
        <v>45</v>
      </c>
      <c r="M1480" t="s">
        <v>59</v>
      </c>
      <c r="N1480" s="15">
        <v>116.32</v>
      </c>
      <c r="O1480" s="16">
        <v>3.1</v>
      </c>
      <c r="P1480">
        <v>0</v>
      </c>
    </row>
    <row r="1481" spans="1:16" x14ac:dyDescent="0.3">
      <c r="A1481" t="s">
        <v>65</v>
      </c>
      <c r="B1481" t="s">
        <v>20</v>
      </c>
      <c r="C1481" t="s">
        <v>20</v>
      </c>
      <c r="D1481" t="s">
        <v>8</v>
      </c>
      <c r="E1481" t="s">
        <v>73</v>
      </c>
      <c r="F1481" t="s">
        <v>9</v>
      </c>
      <c r="G1481" s="15">
        <v>60.62</v>
      </c>
      <c r="H1481" t="s">
        <v>25</v>
      </c>
      <c r="I1481">
        <v>1</v>
      </c>
      <c r="J1481" t="s">
        <v>48</v>
      </c>
      <c r="K1481" t="s">
        <v>45</v>
      </c>
      <c r="L1481" t="s">
        <v>45</v>
      </c>
      <c r="M1481" t="s">
        <v>78</v>
      </c>
      <c r="N1481" s="15">
        <v>88.05</v>
      </c>
      <c r="O1481" s="16">
        <v>-31.2</v>
      </c>
      <c r="P1481">
        <v>0</v>
      </c>
    </row>
    <row r="1482" spans="1:16" x14ac:dyDescent="0.3">
      <c r="A1482" t="s">
        <v>65</v>
      </c>
      <c r="B1482" t="s">
        <v>20</v>
      </c>
      <c r="C1482" t="s">
        <v>20</v>
      </c>
      <c r="D1482" t="s">
        <v>15</v>
      </c>
      <c r="E1482" t="s">
        <v>75</v>
      </c>
      <c r="F1482" t="s">
        <v>9</v>
      </c>
      <c r="G1482" s="15">
        <v>131.97</v>
      </c>
      <c r="H1482" t="s">
        <v>26</v>
      </c>
      <c r="I1482">
        <v>2</v>
      </c>
      <c r="J1482" t="s">
        <v>48</v>
      </c>
      <c r="K1482" t="s">
        <v>45</v>
      </c>
      <c r="L1482" t="s">
        <v>45</v>
      </c>
      <c r="M1482" t="s">
        <v>72</v>
      </c>
      <c r="N1482" s="15">
        <v>126.9</v>
      </c>
      <c r="O1482" s="16">
        <v>4</v>
      </c>
      <c r="P1482">
        <v>0</v>
      </c>
    </row>
    <row r="1483" spans="1:16" x14ac:dyDescent="0.3">
      <c r="A1483" t="s">
        <v>60</v>
      </c>
      <c r="B1483" t="s">
        <v>19</v>
      </c>
      <c r="C1483" t="s">
        <v>19</v>
      </c>
      <c r="D1483" t="s">
        <v>14</v>
      </c>
      <c r="E1483" t="s">
        <v>77</v>
      </c>
      <c r="F1483" t="s">
        <v>9</v>
      </c>
      <c r="G1483" s="15">
        <v>67.03</v>
      </c>
      <c r="H1483" t="s">
        <v>26</v>
      </c>
      <c r="I1483">
        <v>2</v>
      </c>
      <c r="J1483" t="s">
        <v>47</v>
      </c>
      <c r="K1483" t="s">
        <v>46</v>
      </c>
      <c r="L1483" t="s">
        <v>45</v>
      </c>
      <c r="M1483" t="s">
        <v>68</v>
      </c>
      <c r="N1483" s="15">
        <v>67.13</v>
      </c>
      <c r="O1483" s="16">
        <v>-0.1</v>
      </c>
      <c r="P1483">
        <v>0</v>
      </c>
    </row>
    <row r="1484" spans="1:16" x14ac:dyDescent="0.3">
      <c r="A1484" t="s">
        <v>60</v>
      </c>
      <c r="B1484" t="s">
        <v>17</v>
      </c>
      <c r="C1484" t="s">
        <v>17</v>
      </c>
      <c r="D1484" t="s">
        <v>10</v>
      </c>
      <c r="E1484" t="s">
        <v>58</v>
      </c>
      <c r="F1484" t="s">
        <v>9</v>
      </c>
      <c r="G1484" s="15">
        <v>113.59</v>
      </c>
      <c r="H1484" t="s">
        <v>27</v>
      </c>
      <c r="I1484">
        <v>3</v>
      </c>
      <c r="J1484" t="s">
        <v>48</v>
      </c>
      <c r="K1484" t="s">
        <v>46</v>
      </c>
      <c r="L1484" t="s">
        <v>45</v>
      </c>
      <c r="M1484" t="s">
        <v>72</v>
      </c>
      <c r="N1484" s="15">
        <v>152.03</v>
      </c>
      <c r="O1484" s="16">
        <v>-25.3</v>
      </c>
      <c r="P1484">
        <v>0</v>
      </c>
    </row>
    <row r="1485" spans="1:16" x14ac:dyDescent="0.3">
      <c r="A1485" t="s">
        <v>65</v>
      </c>
      <c r="B1485" t="s">
        <v>19</v>
      </c>
      <c r="C1485" t="s">
        <v>19</v>
      </c>
      <c r="D1485" t="s">
        <v>8</v>
      </c>
      <c r="E1485" t="s">
        <v>74</v>
      </c>
      <c r="F1485" t="s">
        <v>9</v>
      </c>
      <c r="G1485" s="15">
        <v>95.11</v>
      </c>
      <c r="H1485" t="s">
        <v>26</v>
      </c>
      <c r="I1485">
        <v>2</v>
      </c>
      <c r="J1485" t="s">
        <v>48</v>
      </c>
      <c r="K1485" t="s">
        <v>45</v>
      </c>
      <c r="L1485" t="s">
        <v>45</v>
      </c>
      <c r="M1485" t="s">
        <v>72</v>
      </c>
      <c r="N1485" s="15">
        <v>91.13</v>
      </c>
      <c r="O1485" s="16">
        <v>4.4000000000000004</v>
      </c>
      <c r="P1485">
        <v>0</v>
      </c>
    </row>
    <row r="1486" spans="1:16" x14ac:dyDescent="0.3">
      <c r="A1486" t="s">
        <v>57</v>
      </c>
      <c r="B1486" t="s">
        <v>18</v>
      </c>
      <c r="C1486" t="s">
        <v>18</v>
      </c>
      <c r="D1486" t="s">
        <v>10</v>
      </c>
      <c r="E1486" t="s">
        <v>58</v>
      </c>
      <c r="F1486" t="s">
        <v>9</v>
      </c>
      <c r="G1486" s="15">
        <v>144.55000000000001</v>
      </c>
      <c r="H1486" t="s">
        <v>27</v>
      </c>
      <c r="I1486">
        <v>3</v>
      </c>
      <c r="J1486" t="s">
        <v>47</v>
      </c>
      <c r="K1486" t="s">
        <v>45</v>
      </c>
      <c r="L1486" t="s">
        <v>45</v>
      </c>
      <c r="M1486" t="s">
        <v>64</v>
      </c>
      <c r="N1486" s="15">
        <v>151.19</v>
      </c>
      <c r="O1486" s="16">
        <v>-4.4000000000000004</v>
      </c>
      <c r="P1486">
        <v>0</v>
      </c>
    </row>
    <row r="1487" spans="1:16" x14ac:dyDescent="0.3">
      <c r="A1487" t="s">
        <v>57</v>
      </c>
      <c r="B1487" t="s">
        <v>21</v>
      </c>
      <c r="C1487" t="s">
        <v>62</v>
      </c>
      <c r="D1487" t="s">
        <v>11</v>
      </c>
      <c r="E1487" t="s">
        <v>70</v>
      </c>
      <c r="F1487" t="s">
        <v>9</v>
      </c>
      <c r="G1487" s="15">
        <v>29.77</v>
      </c>
      <c r="H1487" t="s">
        <v>27</v>
      </c>
      <c r="I1487">
        <v>3</v>
      </c>
      <c r="J1487" t="s">
        <v>48</v>
      </c>
      <c r="K1487" t="s">
        <v>45</v>
      </c>
      <c r="L1487" t="s">
        <v>45</v>
      </c>
      <c r="M1487" t="s">
        <v>67</v>
      </c>
      <c r="N1487" s="15">
        <v>30.5</v>
      </c>
      <c r="O1487" s="16">
        <v>-2.4</v>
      </c>
      <c r="P1487">
        <v>0</v>
      </c>
    </row>
    <row r="1488" spans="1:16" x14ac:dyDescent="0.3">
      <c r="A1488" t="s">
        <v>57</v>
      </c>
      <c r="B1488" t="s">
        <v>20</v>
      </c>
      <c r="C1488" t="s">
        <v>20</v>
      </c>
      <c r="D1488" t="s">
        <v>11</v>
      </c>
      <c r="E1488" t="s">
        <v>70</v>
      </c>
      <c r="F1488" t="s">
        <v>9</v>
      </c>
      <c r="G1488" s="15">
        <v>29.37</v>
      </c>
      <c r="H1488" t="s">
        <v>26</v>
      </c>
      <c r="I1488">
        <v>2</v>
      </c>
      <c r="J1488" t="s">
        <v>48</v>
      </c>
      <c r="K1488" t="s">
        <v>45</v>
      </c>
      <c r="L1488" t="s">
        <v>45</v>
      </c>
      <c r="M1488" t="s">
        <v>72</v>
      </c>
      <c r="N1488" s="15">
        <v>30.5</v>
      </c>
      <c r="O1488" s="16">
        <v>-3.7</v>
      </c>
      <c r="P1488">
        <v>0</v>
      </c>
    </row>
    <row r="1489" spans="1:16" x14ac:dyDescent="0.3">
      <c r="A1489" t="s">
        <v>65</v>
      </c>
      <c r="B1489" t="s">
        <v>21</v>
      </c>
      <c r="C1489" t="s">
        <v>62</v>
      </c>
      <c r="D1489" t="s">
        <v>11</v>
      </c>
      <c r="E1489" t="s">
        <v>70</v>
      </c>
      <c r="F1489" t="s">
        <v>9</v>
      </c>
      <c r="G1489" s="15">
        <v>31.12</v>
      </c>
      <c r="H1489" t="s">
        <v>26</v>
      </c>
      <c r="I1489">
        <v>2</v>
      </c>
      <c r="J1489" t="s">
        <v>47</v>
      </c>
      <c r="K1489" t="s">
        <v>45</v>
      </c>
      <c r="L1489" t="s">
        <v>45</v>
      </c>
      <c r="M1489" t="s">
        <v>68</v>
      </c>
      <c r="N1489" s="15">
        <v>32.630000000000003</v>
      </c>
      <c r="O1489" s="16">
        <v>-4.5999999999999996</v>
      </c>
      <c r="P1489">
        <v>0</v>
      </c>
    </row>
    <row r="1490" spans="1:16" x14ac:dyDescent="0.3">
      <c r="A1490" t="s">
        <v>57</v>
      </c>
      <c r="B1490" t="s">
        <v>18</v>
      </c>
      <c r="C1490" t="s">
        <v>18</v>
      </c>
      <c r="D1490" t="s">
        <v>8</v>
      </c>
      <c r="E1490" t="s">
        <v>73</v>
      </c>
      <c r="F1490" t="s">
        <v>9</v>
      </c>
      <c r="G1490" s="15">
        <v>120</v>
      </c>
      <c r="H1490" t="s">
        <v>25</v>
      </c>
      <c r="I1490">
        <v>1</v>
      </c>
      <c r="J1490" t="s">
        <v>47</v>
      </c>
      <c r="K1490" t="s">
        <v>45</v>
      </c>
      <c r="L1490" t="s">
        <v>45</v>
      </c>
      <c r="M1490" t="s">
        <v>61</v>
      </c>
      <c r="N1490" s="15">
        <v>86.06</v>
      </c>
      <c r="O1490" s="16">
        <v>39.4</v>
      </c>
      <c r="P1490">
        <v>1</v>
      </c>
    </row>
    <row r="1491" spans="1:16" x14ac:dyDescent="0.3">
      <c r="A1491" t="s">
        <v>65</v>
      </c>
      <c r="B1491" t="s">
        <v>19</v>
      </c>
      <c r="C1491" t="s">
        <v>19</v>
      </c>
      <c r="D1491" t="s">
        <v>14</v>
      </c>
      <c r="E1491" t="s">
        <v>63</v>
      </c>
      <c r="F1491" t="s">
        <v>9</v>
      </c>
      <c r="G1491" s="15">
        <v>74.260000000000005</v>
      </c>
      <c r="H1491" t="s">
        <v>25</v>
      </c>
      <c r="I1491">
        <v>1</v>
      </c>
      <c r="J1491" t="s">
        <v>47</v>
      </c>
      <c r="K1491" t="s">
        <v>45</v>
      </c>
      <c r="L1491" t="s">
        <v>45</v>
      </c>
      <c r="M1491" t="s">
        <v>72</v>
      </c>
      <c r="N1491" s="15">
        <v>68.150000000000006</v>
      </c>
      <c r="O1491" s="16">
        <v>9</v>
      </c>
      <c r="P1491">
        <v>0</v>
      </c>
    </row>
    <row r="1492" spans="1:16" x14ac:dyDescent="0.3">
      <c r="A1492" t="s">
        <v>60</v>
      </c>
      <c r="B1492" t="s">
        <v>19</v>
      </c>
      <c r="C1492" t="s">
        <v>19</v>
      </c>
      <c r="D1492" t="s">
        <v>14</v>
      </c>
      <c r="E1492" t="s">
        <v>71</v>
      </c>
      <c r="F1492" t="s">
        <v>9</v>
      </c>
      <c r="G1492" s="15">
        <v>67.08</v>
      </c>
      <c r="H1492" t="s">
        <v>26</v>
      </c>
      <c r="I1492">
        <v>2</v>
      </c>
      <c r="J1492" t="s">
        <v>48</v>
      </c>
      <c r="K1492" t="s">
        <v>45</v>
      </c>
      <c r="L1492" t="s">
        <v>45</v>
      </c>
      <c r="M1492" t="s">
        <v>59</v>
      </c>
      <c r="N1492" s="15">
        <v>65.239999999999995</v>
      </c>
      <c r="O1492" s="16">
        <v>2.8</v>
      </c>
      <c r="P1492">
        <v>0</v>
      </c>
    </row>
    <row r="1493" spans="1:16" x14ac:dyDescent="0.3">
      <c r="A1493" t="s">
        <v>60</v>
      </c>
      <c r="B1493" t="s">
        <v>21</v>
      </c>
      <c r="C1493" t="s">
        <v>62</v>
      </c>
      <c r="D1493" t="s">
        <v>15</v>
      </c>
      <c r="E1493" t="s">
        <v>76</v>
      </c>
      <c r="F1493" t="s">
        <v>9</v>
      </c>
      <c r="G1493" s="15">
        <v>115.02</v>
      </c>
      <c r="H1493" t="s">
        <v>26</v>
      </c>
      <c r="I1493">
        <v>2</v>
      </c>
      <c r="J1493" t="s">
        <v>48</v>
      </c>
      <c r="K1493" t="s">
        <v>46</v>
      </c>
      <c r="L1493" t="s">
        <v>45</v>
      </c>
      <c r="M1493" t="s">
        <v>61</v>
      </c>
      <c r="N1493" s="15">
        <v>116.32</v>
      </c>
      <c r="O1493" s="16">
        <v>-1.1000000000000001</v>
      </c>
      <c r="P1493">
        <v>0</v>
      </c>
    </row>
    <row r="1494" spans="1:16" x14ac:dyDescent="0.3">
      <c r="A1494" t="s">
        <v>65</v>
      </c>
      <c r="B1494" t="s">
        <v>22</v>
      </c>
      <c r="C1494" t="s">
        <v>22</v>
      </c>
      <c r="D1494" t="s">
        <v>14</v>
      </c>
      <c r="E1494" t="s">
        <v>71</v>
      </c>
      <c r="F1494" t="s">
        <v>9</v>
      </c>
      <c r="G1494" s="15">
        <v>67.38</v>
      </c>
      <c r="H1494" t="s">
        <v>26</v>
      </c>
      <c r="I1494">
        <v>2</v>
      </c>
      <c r="J1494" t="s">
        <v>47</v>
      </c>
      <c r="K1494" t="s">
        <v>45</v>
      </c>
      <c r="L1494" t="s">
        <v>45</v>
      </c>
      <c r="M1494" t="s">
        <v>61</v>
      </c>
      <c r="N1494" s="15">
        <v>71.77</v>
      </c>
      <c r="O1494" s="16">
        <v>-6.1</v>
      </c>
      <c r="P1494">
        <v>0</v>
      </c>
    </row>
    <row r="1495" spans="1:16" x14ac:dyDescent="0.3">
      <c r="A1495" t="s">
        <v>65</v>
      </c>
      <c r="B1495" t="s">
        <v>19</v>
      </c>
      <c r="C1495" t="s">
        <v>19</v>
      </c>
      <c r="D1495" t="s">
        <v>15</v>
      </c>
      <c r="E1495" t="s">
        <v>75</v>
      </c>
      <c r="F1495" t="s">
        <v>9</v>
      </c>
      <c r="G1495" s="15">
        <v>131.5</v>
      </c>
      <c r="H1495" t="s">
        <v>25</v>
      </c>
      <c r="I1495">
        <v>1</v>
      </c>
      <c r="J1495" t="s">
        <v>47</v>
      </c>
      <c r="K1495" t="s">
        <v>45</v>
      </c>
      <c r="L1495" t="s">
        <v>45</v>
      </c>
      <c r="M1495" t="s">
        <v>68</v>
      </c>
      <c r="N1495" s="15">
        <v>126.9</v>
      </c>
      <c r="O1495" s="16">
        <v>3.6</v>
      </c>
      <c r="P1495">
        <v>0</v>
      </c>
    </row>
    <row r="1496" spans="1:16" x14ac:dyDescent="0.3">
      <c r="A1496" t="s">
        <v>60</v>
      </c>
      <c r="B1496" t="s">
        <v>17</v>
      </c>
      <c r="C1496" t="s">
        <v>17</v>
      </c>
      <c r="D1496" t="s">
        <v>8</v>
      </c>
      <c r="E1496" t="s">
        <v>74</v>
      </c>
      <c r="F1496" t="s">
        <v>9</v>
      </c>
      <c r="G1496" s="15">
        <v>65.739999999999995</v>
      </c>
      <c r="H1496" t="s">
        <v>26</v>
      </c>
      <c r="I1496">
        <v>2</v>
      </c>
      <c r="J1496" t="s">
        <v>48</v>
      </c>
      <c r="K1496" t="s">
        <v>46</v>
      </c>
      <c r="L1496" t="s">
        <v>45</v>
      </c>
      <c r="M1496" t="s">
        <v>61</v>
      </c>
      <c r="N1496" s="15">
        <v>78.260000000000005</v>
      </c>
      <c r="O1496" s="16">
        <v>-16</v>
      </c>
      <c r="P1496">
        <v>0</v>
      </c>
    </row>
    <row r="1497" spans="1:16" x14ac:dyDescent="0.3">
      <c r="A1497" t="s">
        <v>60</v>
      </c>
      <c r="B1497" t="s">
        <v>17</v>
      </c>
      <c r="C1497" t="s">
        <v>17</v>
      </c>
      <c r="D1497" t="s">
        <v>15</v>
      </c>
      <c r="E1497" t="s">
        <v>76</v>
      </c>
      <c r="F1497" t="s">
        <v>9</v>
      </c>
      <c r="G1497" s="15">
        <v>105.87</v>
      </c>
      <c r="H1497" t="s">
        <v>26</v>
      </c>
      <c r="I1497">
        <v>2</v>
      </c>
      <c r="J1497" t="s">
        <v>47</v>
      </c>
      <c r="K1497" t="s">
        <v>45</v>
      </c>
      <c r="L1497" t="s">
        <v>45</v>
      </c>
      <c r="M1497" t="s">
        <v>78</v>
      </c>
      <c r="N1497" s="15">
        <v>116.32</v>
      </c>
      <c r="O1497" s="16">
        <v>-9</v>
      </c>
      <c r="P1497">
        <v>0</v>
      </c>
    </row>
    <row r="1498" spans="1:16" x14ac:dyDescent="0.3">
      <c r="A1498" t="s">
        <v>57</v>
      </c>
      <c r="B1498" t="s">
        <v>21</v>
      </c>
      <c r="C1498" t="s">
        <v>62</v>
      </c>
      <c r="D1498" t="s">
        <v>14</v>
      </c>
      <c r="E1498" t="s">
        <v>63</v>
      </c>
      <c r="F1498" t="s">
        <v>9</v>
      </c>
      <c r="G1498" s="15">
        <v>69.650000000000006</v>
      </c>
      <c r="H1498" t="s">
        <v>26</v>
      </c>
      <c r="I1498">
        <v>2</v>
      </c>
      <c r="J1498" t="s">
        <v>48</v>
      </c>
      <c r="K1498" t="s">
        <v>46</v>
      </c>
      <c r="L1498" t="s">
        <v>46</v>
      </c>
      <c r="M1498" t="s">
        <v>59</v>
      </c>
      <c r="N1498" s="15">
        <v>65.16</v>
      </c>
      <c r="O1498" s="16">
        <v>6.9</v>
      </c>
      <c r="P1498">
        <v>0</v>
      </c>
    </row>
    <row r="1499" spans="1:16" x14ac:dyDescent="0.3">
      <c r="A1499" t="s">
        <v>65</v>
      </c>
      <c r="B1499" t="s">
        <v>17</v>
      </c>
      <c r="C1499" t="s">
        <v>17</v>
      </c>
      <c r="D1499" t="s">
        <v>11</v>
      </c>
      <c r="E1499" t="s">
        <v>70</v>
      </c>
      <c r="F1499" t="s">
        <v>9</v>
      </c>
      <c r="G1499" s="15">
        <v>28.67</v>
      </c>
      <c r="H1499" t="s">
        <v>26</v>
      </c>
      <c r="I1499">
        <v>2</v>
      </c>
      <c r="J1499" t="s">
        <v>47</v>
      </c>
      <c r="K1499" t="s">
        <v>45</v>
      </c>
      <c r="L1499" t="s">
        <v>45</v>
      </c>
      <c r="M1499" t="s">
        <v>61</v>
      </c>
      <c r="N1499" s="15">
        <v>32.630000000000003</v>
      </c>
      <c r="O1499" s="16">
        <v>-12.1</v>
      </c>
      <c r="P1499">
        <v>0</v>
      </c>
    </row>
    <row r="1500" spans="1:16" x14ac:dyDescent="0.3">
      <c r="A1500" t="s">
        <v>60</v>
      </c>
      <c r="B1500" t="s">
        <v>20</v>
      </c>
      <c r="C1500" t="s">
        <v>20</v>
      </c>
      <c r="D1500" t="s">
        <v>14</v>
      </c>
      <c r="E1500" t="s">
        <v>63</v>
      </c>
      <c r="F1500" t="s">
        <v>9</v>
      </c>
      <c r="G1500" s="15">
        <v>66.55</v>
      </c>
      <c r="H1500" t="s">
        <v>27</v>
      </c>
      <c r="I1500">
        <v>3</v>
      </c>
      <c r="J1500" t="s">
        <v>48</v>
      </c>
      <c r="K1500" t="s">
        <v>46</v>
      </c>
      <c r="L1500" t="s">
        <v>46</v>
      </c>
      <c r="M1500" t="s">
        <v>72</v>
      </c>
      <c r="N1500" s="15">
        <v>66.680000000000007</v>
      </c>
      <c r="O1500" s="16">
        <v>-0.2</v>
      </c>
      <c r="P1500">
        <v>0</v>
      </c>
    </row>
    <row r="1501" spans="1:16" x14ac:dyDescent="0.3">
      <c r="A1501" t="s">
        <v>57</v>
      </c>
      <c r="B1501" t="s">
        <v>22</v>
      </c>
      <c r="C1501" t="s">
        <v>22</v>
      </c>
      <c r="D1501" t="s">
        <v>11</v>
      </c>
      <c r="E1501" t="s">
        <v>79</v>
      </c>
      <c r="F1501" t="s">
        <v>9</v>
      </c>
      <c r="G1501" s="15">
        <v>30.87</v>
      </c>
      <c r="H1501" t="s">
        <v>26</v>
      </c>
      <c r="I1501">
        <v>2</v>
      </c>
      <c r="J1501" t="s">
        <v>47</v>
      </c>
      <c r="K1501" t="s">
        <v>45</v>
      </c>
      <c r="L1501" t="s">
        <v>45</v>
      </c>
      <c r="M1501" t="s">
        <v>59</v>
      </c>
      <c r="N1501" s="15">
        <v>30.93</v>
      </c>
      <c r="O1501" s="16">
        <v>-0.2</v>
      </c>
      <c r="P1501">
        <v>0</v>
      </c>
    </row>
    <row r="1502" spans="1:16" x14ac:dyDescent="0.3">
      <c r="A1502" t="s">
        <v>65</v>
      </c>
      <c r="B1502" t="s">
        <v>17</v>
      </c>
      <c r="C1502" t="s">
        <v>17</v>
      </c>
      <c r="D1502" t="s">
        <v>14</v>
      </c>
      <c r="E1502" t="s">
        <v>71</v>
      </c>
      <c r="F1502" t="s">
        <v>9</v>
      </c>
      <c r="G1502" s="15">
        <v>80</v>
      </c>
      <c r="H1502" t="s">
        <v>25</v>
      </c>
      <c r="I1502">
        <v>1</v>
      </c>
      <c r="J1502" t="s">
        <v>47</v>
      </c>
      <c r="K1502" t="s">
        <v>46</v>
      </c>
      <c r="L1502" t="s">
        <v>46</v>
      </c>
      <c r="M1502" t="s">
        <v>64</v>
      </c>
      <c r="N1502" s="15">
        <v>71.77</v>
      </c>
      <c r="O1502" s="16">
        <v>11.5</v>
      </c>
      <c r="P1502">
        <v>0</v>
      </c>
    </row>
    <row r="1503" spans="1:16" x14ac:dyDescent="0.3">
      <c r="A1503" t="s">
        <v>57</v>
      </c>
      <c r="B1503" t="s">
        <v>20</v>
      </c>
      <c r="C1503" t="s">
        <v>20</v>
      </c>
      <c r="D1503" t="s">
        <v>10</v>
      </c>
      <c r="E1503" t="s">
        <v>69</v>
      </c>
      <c r="F1503" t="s">
        <v>9</v>
      </c>
      <c r="G1503" s="15">
        <v>118.43</v>
      </c>
      <c r="H1503" t="s">
        <v>26</v>
      </c>
      <c r="I1503">
        <v>2</v>
      </c>
      <c r="J1503" t="s">
        <v>48</v>
      </c>
      <c r="K1503" t="s">
        <v>46</v>
      </c>
      <c r="L1503" t="s">
        <v>45</v>
      </c>
      <c r="M1503" t="s">
        <v>67</v>
      </c>
      <c r="N1503" s="15">
        <v>150.38999999999999</v>
      </c>
      <c r="O1503" s="16">
        <v>-21.3</v>
      </c>
      <c r="P1503">
        <v>0</v>
      </c>
    </row>
    <row r="1504" spans="1:16" x14ac:dyDescent="0.3">
      <c r="A1504" t="s">
        <v>65</v>
      </c>
      <c r="B1504" t="s">
        <v>21</v>
      </c>
      <c r="C1504" t="s">
        <v>62</v>
      </c>
      <c r="D1504" t="s">
        <v>10</v>
      </c>
      <c r="E1504" t="s">
        <v>69</v>
      </c>
      <c r="F1504" t="s">
        <v>9</v>
      </c>
      <c r="G1504" s="15">
        <v>133.61000000000001</v>
      </c>
      <c r="H1504" t="s">
        <v>26</v>
      </c>
      <c r="I1504">
        <v>2</v>
      </c>
      <c r="J1504" t="s">
        <v>48</v>
      </c>
      <c r="K1504" t="s">
        <v>46</v>
      </c>
      <c r="L1504" t="s">
        <v>45</v>
      </c>
      <c r="M1504" t="s">
        <v>67</v>
      </c>
      <c r="N1504" s="15">
        <v>158.91999999999999</v>
      </c>
      <c r="O1504" s="16">
        <v>-15.9</v>
      </c>
      <c r="P1504">
        <v>0</v>
      </c>
    </row>
    <row r="1505" spans="1:16" x14ac:dyDescent="0.3">
      <c r="A1505" t="s">
        <v>57</v>
      </c>
      <c r="B1505" t="s">
        <v>22</v>
      </c>
      <c r="C1505" t="s">
        <v>22</v>
      </c>
      <c r="D1505" t="s">
        <v>10</v>
      </c>
      <c r="E1505" t="s">
        <v>58</v>
      </c>
      <c r="F1505" t="s">
        <v>9</v>
      </c>
      <c r="G1505" s="15">
        <v>165.59</v>
      </c>
      <c r="H1505" t="s">
        <v>26</v>
      </c>
      <c r="I1505">
        <v>2</v>
      </c>
      <c r="J1505" t="s">
        <v>48</v>
      </c>
      <c r="K1505" t="s">
        <v>45</v>
      </c>
      <c r="L1505" t="s">
        <v>45</v>
      </c>
      <c r="M1505" t="s">
        <v>72</v>
      </c>
      <c r="N1505" s="15">
        <v>151.19</v>
      </c>
      <c r="O1505" s="16">
        <v>9.5</v>
      </c>
      <c r="P1505">
        <v>0</v>
      </c>
    </row>
    <row r="1506" spans="1:16" x14ac:dyDescent="0.3">
      <c r="A1506" t="s">
        <v>65</v>
      </c>
      <c r="B1506" t="s">
        <v>22</v>
      </c>
      <c r="C1506" t="s">
        <v>22</v>
      </c>
      <c r="D1506" t="s">
        <v>10</v>
      </c>
      <c r="E1506" t="s">
        <v>69</v>
      </c>
      <c r="F1506" t="s">
        <v>9</v>
      </c>
      <c r="G1506" s="15">
        <v>154.54</v>
      </c>
      <c r="H1506" t="s">
        <v>26</v>
      </c>
      <c r="I1506">
        <v>2</v>
      </c>
      <c r="J1506" t="s">
        <v>47</v>
      </c>
      <c r="K1506" t="s">
        <v>46</v>
      </c>
      <c r="L1506" t="s">
        <v>45</v>
      </c>
      <c r="M1506" t="s">
        <v>68</v>
      </c>
      <c r="N1506" s="15">
        <v>158.91999999999999</v>
      </c>
      <c r="O1506" s="16">
        <v>-2.8</v>
      </c>
      <c r="P1506">
        <v>0</v>
      </c>
    </row>
    <row r="1507" spans="1:16" x14ac:dyDescent="0.3">
      <c r="A1507" t="s">
        <v>65</v>
      </c>
      <c r="B1507" t="s">
        <v>21</v>
      </c>
      <c r="C1507" t="s">
        <v>62</v>
      </c>
      <c r="D1507" t="s">
        <v>12</v>
      </c>
      <c r="E1507" t="s">
        <v>80</v>
      </c>
      <c r="F1507" t="s">
        <v>13</v>
      </c>
      <c r="G1507" s="15">
        <v>153.11000000000001</v>
      </c>
      <c r="H1507" t="s">
        <v>26</v>
      </c>
      <c r="I1507">
        <v>2</v>
      </c>
      <c r="J1507" t="s">
        <v>48</v>
      </c>
      <c r="K1507" t="s">
        <v>45</v>
      </c>
      <c r="L1507" t="s">
        <v>45</v>
      </c>
      <c r="M1507" t="s">
        <v>61</v>
      </c>
      <c r="N1507" s="15">
        <v>176.57</v>
      </c>
      <c r="O1507" s="16">
        <v>-13.3</v>
      </c>
      <c r="P1507">
        <v>0</v>
      </c>
    </row>
    <row r="1508" spans="1:16" x14ac:dyDescent="0.3">
      <c r="A1508" t="s">
        <v>65</v>
      </c>
      <c r="B1508" t="s">
        <v>19</v>
      </c>
      <c r="C1508" t="s">
        <v>19</v>
      </c>
      <c r="D1508" t="s">
        <v>15</v>
      </c>
      <c r="E1508" t="s">
        <v>75</v>
      </c>
      <c r="F1508" t="s">
        <v>9</v>
      </c>
      <c r="G1508" s="15">
        <v>135.55000000000001</v>
      </c>
      <c r="H1508" t="s">
        <v>26</v>
      </c>
      <c r="I1508">
        <v>2</v>
      </c>
      <c r="J1508" t="s">
        <v>44</v>
      </c>
      <c r="K1508" t="s">
        <v>46</v>
      </c>
      <c r="L1508" t="s">
        <v>46</v>
      </c>
      <c r="M1508" t="s">
        <v>68</v>
      </c>
      <c r="N1508" s="15">
        <v>126.9</v>
      </c>
      <c r="O1508" s="16">
        <v>6.8</v>
      </c>
      <c r="P1508">
        <v>0</v>
      </c>
    </row>
    <row r="1509" spans="1:16" x14ac:dyDescent="0.3">
      <c r="A1509" t="s">
        <v>60</v>
      </c>
      <c r="B1509" t="s">
        <v>22</v>
      </c>
      <c r="C1509" t="s">
        <v>22</v>
      </c>
      <c r="D1509" t="s">
        <v>10</v>
      </c>
      <c r="E1509" t="s">
        <v>69</v>
      </c>
      <c r="F1509" t="s">
        <v>9</v>
      </c>
      <c r="G1509" s="15">
        <v>152.09</v>
      </c>
      <c r="H1509" t="s">
        <v>26</v>
      </c>
      <c r="I1509">
        <v>2</v>
      </c>
      <c r="J1509" t="s">
        <v>48</v>
      </c>
      <c r="K1509" t="s">
        <v>46</v>
      </c>
      <c r="L1509" t="s">
        <v>45</v>
      </c>
      <c r="M1509" t="s">
        <v>67</v>
      </c>
      <c r="N1509" s="15">
        <v>158.6</v>
      </c>
      <c r="O1509" s="16">
        <v>-4.0999999999999996</v>
      </c>
      <c r="P1509">
        <v>0</v>
      </c>
    </row>
    <row r="1510" spans="1:16" x14ac:dyDescent="0.3">
      <c r="A1510" t="s">
        <v>65</v>
      </c>
      <c r="B1510" t="s">
        <v>21</v>
      </c>
      <c r="C1510" t="s">
        <v>62</v>
      </c>
      <c r="D1510" t="s">
        <v>14</v>
      </c>
      <c r="E1510" t="s">
        <v>77</v>
      </c>
      <c r="F1510" t="s">
        <v>9</v>
      </c>
      <c r="G1510" s="15">
        <v>76.459999999999994</v>
      </c>
      <c r="H1510" t="s">
        <v>25</v>
      </c>
      <c r="I1510">
        <v>1</v>
      </c>
      <c r="J1510" t="s">
        <v>44</v>
      </c>
      <c r="K1510" t="s">
        <v>46</v>
      </c>
      <c r="L1510" t="s">
        <v>45</v>
      </c>
      <c r="M1510" t="s">
        <v>67</v>
      </c>
      <c r="N1510" s="15">
        <v>70.66</v>
      </c>
      <c r="O1510" s="16">
        <v>8.1999999999999993</v>
      </c>
      <c r="P1510">
        <v>0</v>
      </c>
    </row>
    <row r="1511" spans="1:16" x14ac:dyDescent="0.3">
      <c r="A1511" t="s">
        <v>65</v>
      </c>
      <c r="B1511" t="s">
        <v>19</v>
      </c>
      <c r="C1511" t="s">
        <v>19</v>
      </c>
      <c r="D1511" t="s">
        <v>12</v>
      </c>
      <c r="E1511" t="s">
        <v>66</v>
      </c>
      <c r="F1511" t="s">
        <v>13</v>
      </c>
      <c r="G1511" s="15">
        <v>177.52</v>
      </c>
      <c r="H1511" t="s">
        <v>25</v>
      </c>
      <c r="I1511">
        <v>1</v>
      </c>
      <c r="J1511" t="s">
        <v>47</v>
      </c>
      <c r="K1511" t="s">
        <v>45</v>
      </c>
      <c r="L1511" t="s">
        <v>45</v>
      </c>
      <c r="M1511" t="s">
        <v>64</v>
      </c>
      <c r="N1511" s="15">
        <v>178.49</v>
      </c>
      <c r="O1511" s="16">
        <v>-0.5</v>
      </c>
      <c r="P1511">
        <v>0</v>
      </c>
    </row>
    <row r="1512" spans="1:16" x14ac:dyDescent="0.3">
      <c r="A1512" t="s">
        <v>57</v>
      </c>
      <c r="B1512" t="s">
        <v>22</v>
      </c>
      <c r="C1512" t="s">
        <v>22</v>
      </c>
      <c r="D1512" t="s">
        <v>11</v>
      </c>
      <c r="E1512" t="s">
        <v>70</v>
      </c>
      <c r="F1512" t="s">
        <v>9</v>
      </c>
      <c r="G1512" s="15">
        <v>28.03</v>
      </c>
      <c r="H1512" t="s">
        <v>27</v>
      </c>
      <c r="I1512">
        <v>3</v>
      </c>
      <c r="J1512" t="s">
        <v>48</v>
      </c>
      <c r="K1512" t="s">
        <v>46</v>
      </c>
      <c r="L1512" t="s">
        <v>45</v>
      </c>
      <c r="M1512" t="s">
        <v>59</v>
      </c>
      <c r="N1512" s="15">
        <v>30.5</v>
      </c>
      <c r="O1512" s="16">
        <v>-8.1</v>
      </c>
      <c r="P1512">
        <v>0</v>
      </c>
    </row>
    <row r="1513" spans="1:16" x14ac:dyDescent="0.3">
      <c r="A1513" t="s">
        <v>60</v>
      </c>
      <c r="B1513" t="s">
        <v>22</v>
      </c>
      <c r="C1513" t="s">
        <v>22</v>
      </c>
      <c r="D1513" t="s">
        <v>11</v>
      </c>
      <c r="E1513" t="s">
        <v>70</v>
      </c>
      <c r="F1513" t="s">
        <v>9</v>
      </c>
      <c r="G1513" s="15">
        <v>31.73</v>
      </c>
      <c r="H1513" t="s">
        <v>27</v>
      </c>
      <c r="I1513">
        <v>3</v>
      </c>
      <c r="J1513" t="s">
        <v>48</v>
      </c>
      <c r="K1513" t="s">
        <v>46</v>
      </c>
      <c r="L1513" t="s">
        <v>45</v>
      </c>
      <c r="M1513" t="s">
        <v>68</v>
      </c>
      <c r="N1513" s="15">
        <v>31.4</v>
      </c>
      <c r="O1513" s="16">
        <v>1.1000000000000001</v>
      </c>
      <c r="P1513">
        <v>0</v>
      </c>
    </row>
    <row r="1514" spans="1:16" x14ac:dyDescent="0.3">
      <c r="A1514" t="s">
        <v>57</v>
      </c>
      <c r="B1514" t="s">
        <v>21</v>
      </c>
      <c r="C1514" t="s">
        <v>62</v>
      </c>
      <c r="D1514" t="s">
        <v>10</v>
      </c>
      <c r="E1514" t="s">
        <v>58</v>
      </c>
      <c r="F1514" t="s">
        <v>9</v>
      </c>
      <c r="G1514" s="15">
        <v>151.19</v>
      </c>
      <c r="H1514" t="s">
        <v>26</v>
      </c>
      <c r="I1514">
        <v>2</v>
      </c>
      <c r="J1514" t="s">
        <v>48</v>
      </c>
      <c r="K1514" t="s">
        <v>46</v>
      </c>
      <c r="L1514" t="s">
        <v>45</v>
      </c>
      <c r="M1514" t="s">
        <v>61</v>
      </c>
      <c r="N1514" s="15">
        <v>151.19</v>
      </c>
      <c r="O1514" s="16">
        <v>0</v>
      </c>
      <c r="P1514">
        <v>0</v>
      </c>
    </row>
    <row r="1515" spans="1:16" x14ac:dyDescent="0.3">
      <c r="A1515" t="s">
        <v>57</v>
      </c>
      <c r="B1515" t="s">
        <v>19</v>
      </c>
      <c r="C1515" t="s">
        <v>19</v>
      </c>
      <c r="D1515" t="s">
        <v>14</v>
      </c>
      <c r="E1515" t="s">
        <v>71</v>
      </c>
      <c r="F1515" t="s">
        <v>9</v>
      </c>
      <c r="G1515" s="15">
        <v>54.56</v>
      </c>
      <c r="H1515" t="s">
        <v>25</v>
      </c>
      <c r="I1515">
        <v>1</v>
      </c>
      <c r="J1515" t="s">
        <v>48</v>
      </c>
      <c r="K1515" t="s">
        <v>46</v>
      </c>
      <c r="L1515" t="s">
        <v>45</v>
      </c>
      <c r="M1515" t="s">
        <v>59</v>
      </c>
      <c r="N1515" s="15">
        <v>65.77</v>
      </c>
      <c r="O1515" s="16">
        <v>-17</v>
      </c>
      <c r="P1515">
        <v>0</v>
      </c>
    </row>
    <row r="1516" spans="1:16" x14ac:dyDescent="0.3">
      <c r="A1516" t="s">
        <v>65</v>
      </c>
      <c r="B1516" t="s">
        <v>21</v>
      </c>
      <c r="C1516" t="s">
        <v>62</v>
      </c>
      <c r="D1516" t="s">
        <v>8</v>
      </c>
      <c r="E1516" t="s">
        <v>74</v>
      </c>
      <c r="F1516" t="s">
        <v>9</v>
      </c>
      <c r="G1516" s="15">
        <v>112.07</v>
      </c>
      <c r="H1516" t="s">
        <v>25</v>
      </c>
      <c r="I1516">
        <v>1</v>
      </c>
      <c r="J1516" t="s">
        <v>44</v>
      </c>
      <c r="K1516" t="s">
        <v>45</v>
      </c>
      <c r="L1516" t="s">
        <v>46</v>
      </c>
      <c r="M1516" t="s">
        <v>64</v>
      </c>
      <c r="N1516" s="15">
        <v>91.13</v>
      </c>
      <c r="O1516" s="16">
        <v>23</v>
      </c>
      <c r="P1516">
        <v>1</v>
      </c>
    </row>
    <row r="1517" spans="1:16" x14ac:dyDescent="0.3">
      <c r="A1517" t="s">
        <v>65</v>
      </c>
      <c r="B1517" t="s">
        <v>22</v>
      </c>
      <c r="C1517" t="s">
        <v>22</v>
      </c>
      <c r="D1517" t="s">
        <v>8</v>
      </c>
      <c r="E1517" t="s">
        <v>74</v>
      </c>
      <c r="F1517" t="s">
        <v>9</v>
      </c>
      <c r="G1517" s="15">
        <v>87.9</v>
      </c>
      <c r="H1517" t="s">
        <v>27</v>
      </c>
      <c r="I1517">
        <v>3</v>
      </c>
      <c r="J1517" t="s">
        <v>47</v>
      </c>
      <c r="K1517" t="s">
        <v>46</v>
      </c>
      <c r="L1517" t="s">
        <v>46</v>
      </c>
      <c r="M1517" t="s">
        <v>68</v>
      </c>
      <c r="N1517" s="15">
        <v>91.13</v>
      </c>
      <c r="O1517" s="16">
        <v>-3.5</v>
      </c>
      <c r="P1517">
        <v>0</v>
      </c>
    </row>
    <row r="1518" spans="1:16" x14ac:dyDescent="0.3">
      <c r="A1518" t="s">
        <v>65</v>
      </c>
      <c r="B1518" t="s">
        <v>19</v>
      </c>
      <c r="C1518" t="s">
        <v>19</v>
      </c>
      <c r="D1518" t="s">
        <v>14</v>
      </c>
      <c r="E1518" t="s">
        <v>77</v>
      </c>
      <c r="F1518" t="s">
        <v>9</v>
      </c>
      <c r="G1518" s="15">
        <v>80</v>
      </c>
      <c r="H1518" t="s">
        <v>26</v>
      </c>
      <c r="I1518">
        <v>2</v>
      </c>
      <c r="J1518" t="s">
        <v>47</v>
      </c>
      <c r="K1518" t="s">
        <v>45</v>
      </c>
      <c r="L1518" t="s">
        <v>46</v>
      </c>
      <c r="M1518" t="s">
        <v>61</v>
      </c>
      <c r="N1518" s="15">
        <v>70.66</v>
      </c>
      <c r="O1518" s="16">
        <v>13.2</v>
      </c>
      <c r="P1518">
        <v>0</v>
      </c>
    </row>
    <row r="1519" spans="1:16" x14ac:dyDescent="0.3">
      <c r="A1519" t="s">
        <v>60</v>
      </c>
      <c r="B1519" t="s">
        <v>22</v>
      </c>
      <c r="C1519" t="s">
        <v>22</v>
      </c>
      <c r="D1519" t="s">
        <v>12</v>
      </c>
      <c r="E1519" t="s">
        <v>80</v>
      </c>
      <c r="F1519" t="s">
        <v>13</v>
      </c>
      <c r="G1519" s="15">
        <v>167.66</v>
      </c>
      <c r="H1519" t="s">
        <v>26</v>
      </c>
      <c r="I1519">
        <v>2</v>
      </c>
      <c r="J1519" t="s">
        <v>48</v>
      </c>
      <c r="K1519" t="s">
        <v>45</v>
      </c>
      <c r="L1519" t="s">
        <v>45</v>
      </c>
      <c r="M1519" t="s">
        <v>67</v>
      </c>
      <c r="N1519" s="15">
        <v>167.63</v>
      </c>
      <c r="O1519" s="16">
        <v>0</v>
      </c>
      <c r="P1519">
        <v>0</v>
      </c>
    </row>
    <row r="1520" spans="1:16" x14ac:dyDescent="0.3">
      <c r="A1520" t="s">
        <v>65</v>
      </c>
      <c r="B1520" t="s">
        <v>21</v>
      </c>
      <c r="C1520" t="s">
        <v>62</v>
      </c>
      <c r="D1520" t="s">
        <v>12</v>
      </c>
      <c r="E1520" t="s">
        <v>66</v>
      </c>
      <c r="F1520" t="s">
        <v>13</v>
      </c>
      <c r="G1520" s="15">
        <v>180.41</v>
      </c>
      <c r="H1520" t="s">
        <v>25</v>
      </c>
      <c r="I1520">
        <v>1</v>
      </c>
      <c r="J1520" t="s">
        <v>48</v>
      </c>
      <c r="K1520" t="s">
        <v>45</v>
      </c>
      <c r="L1520" t="s">
        <v>45</v>
      </c>
      <c r="M1520" t="s">
        <v>59</v>
      </c>
      <c r="N1520" s="15">
        <v>178.49</v>
      </c>
      <c r="O1520" s="16">
        <v>1.1000000000000001</v>
      </c>
      <c r="P1520">
        <v>0</v>
      </c>
    </row>
    <row r="1521" spans="1:16" x14ac:dyDescent="0.3">
      <c r="A1521" t="s">
        <v>57</v>
      </c>
      <c r="B1521" t="s">
        <v>18</v>
      </c>
      <c r="C1521" t="s">
        <v>18</v>
      </c>
      <c r="D1521" t="s">
        <v>12</v>
      </c>
      <c r="E1521" t="s">
        <v>80</v>
      </c>
      <c r="F1521" t="s">
        <v>13</v>
      </c>
      <c r="G1521" s="15">
        <v>146.5</v>
      </c>
      <c r="H1521" t="s">
        <v>26</v>
      </c>
      <c r="I1521">
        <v>2</v>
      </c>
      <c r="J1521" t="s">
        <v>47</v>
      </c>
      <c r="K1521" t="s">
        <v>45</v>
      </c>
      <c r="L1521" t="s">
        <v>45</v>
      </c>
      <c r="M1521" t="s">
        <v>59</v>
      </c>
      <c r="N1521" s="15">
        <v>162.72999999999999</v>
      </c>
      <c r="O1521" s="16">
        <v>-10</v>
      </c>
      <c r="P1521">
        <v>0</v>
      </c>
    </row>
    <row r="1522" spans="1:16" x14ac:dyDescent="0.3">
      <c r="A1522" t="s">
        <v>57</v>
      </c>
      <c r="B1522" t="s">
        <v>17</v>
      </c>
      <c r="C1522" t="s">
        <v>17</v>
      </c>
      <c r="D1522" t="s">
        <v>8</v>
      </c>
      <c r="E1522" t="s">
        <v>74</v>
      </c>
      <c r="F1522" t="s">
        <v>9</v>
      </c>
      <c r="G1522" s="15">
        <v>111.59</v>
      </c>
      <c r="H1522" t="s">
        <v>27</v>
      </c>
      <c r="I1522">
        <v>3</v>
      </c>
      <c r="J1522" t="s">
        <v>48</v>
      </c>
      <c r="K1522" t="s">
        <v>45</v>
      </c>
      <c r="L1522" t="s">
        <v>46</v>
      </c>
      <c r="M1522" t="s">
        <v>67</v>
      </c>
      <c r="N1522" s="15">
        <v>83.41</v>
      </c>
      <c r="O1522" s="16">
        <v>33.799999999999997</v>
      </c>
      <c r="P1522">
        <v>1</v>
      </c>
    </row>
    <row r="1523" spans="1:16" x14ac:dyDescent="0.3">
      <c r="A1523" t="s">
        <v>65</v>
      </c>
      <c r="B1523" t="s">
        <v>20</v>
      </c>
      <c r="C1523" t="s">
        <v>20</v>
      </c>
      <c r="D1523" t="s">
        <v>14</v>
      </c>
      <c r="E1523" t="s">
        <v>63</v>
      </c>
      <c r="F1523" t="s">
        <v>9</v>
      </c>
      <c r="G1523" s="15">
        <v>66.27</v>
      </c>
      <c r="H1523" t="s">
        <v>26</v>
      </c>
      <c r="I1523">
        <v>2</v>
      </c>
      <c r="J1523" t="s">
        <v>48</v>
      </c>
      <c r="K1523" t="s">
        <v>46</v>
      </c>
      <c r="L1523" t="s">
        <v>45</v>
      </c>
      <c r="M1523" t="s">
        <v>61</v>
      </c>
      <c r="N1523" s="15">
        <v>68.150000000000006</v>
      </c>
      <c r="O1523" s="16">
        <v>-2.8</v>
      </c>
      <c r="P1523">
        <v>0</v>
      </c>
    </row>
    <row r="1524" spans="1:16" x14ac:dyDescent="0.3">
      <c r="A1524" t="s">
        <v>60</v>
      </c>
      <c r="B1524" t="s">
        <v>22</v>
      </c>
      <c r="C1524" t="s">
        <v>22</v>
      </c>
      <c r="D1524" t="s">
        <v>14</v>
      </c>
      <c r="E1524" t="s">
        <v>63</v>
      </c>
      <c r="F1524" t="s">
        <v>9</v>
      </c>
      <c r="G1524" s="15">
        <v>73.38</v>
      </c>
      <c r="H1524" t="s">
        <v>25</v>
      </c>
      <c r="I1524">
        <v>1</v>
      </c>
      <c r="J1524" t="s">
        <v>48</v>
      </c>
      <c r="K1524" t="s">
        <v>46</v>
      </c>
      <c r="L1524" t="s">
        <v>45</v>
      </c>
      <c r="M1524" t="s">
        <v>72</v>
      </c>
      <c r="N1524" s="15">
        <v>66.680000000000007</v>
      </c>
      <c r="O1524" s="16">
        <v>10</v>
      </c>
      <c r="P1524">
        <v>0</v>
      </c>
    </row>
    <row r="1525" spans="1:16" x14ac:dyDescent="0.3">
      <c r="A1525" t="s">
        <v>60</v>
      </c>
      <c r="B1525" t="s">
        <v>19</v>
      </c>
      <c r="C1525" t="s">
        <v>19</v>
      </c>
      <c r="D1525" t="s">
        <v>15</v>
      </c>
      <c r="E1525" t="s">
        <v>76</v>
      </c>
      <c r="F1525" t="s">
        <v>9</v>
      </c>
      <c r="G1525" s="15">
        <v>114.57</v>
      </c>
      <c r="H1525" t="s">
        <v>26</v>
      </c>
      <c r="I1525">
        <v>2</v>
      </c>
      <c r="J1525" t="s">
        <v>47</v>
      </c>
      <c r="K1525" t="s">
        <v>46</v>
      </c>
      <c r="L1525" t="s">
        <v>45</v>
      </c>
      <c r="M1525" t="s">
        <v>61</v>
      </c>
      <c r="N1525" s="15">
        <v>116.32</v>
      </c>
      <c r="O1525" s="16">
        <v>-1.5</v>
      </c>
      <c r="P1525">
        <v>0</v>
      </c>
    </row>
    <row r="1526" spans="1:16" x14ac:dyDescent="0.3">
      <c r="A1526" t="s">
        <v>65</v>
      </c>
      <c r="B1526" t="s">
        <v>19</v>
      </c>
      <c r="C1526" t="s">
        <v>19</v>
      </c>
      <c r="D1526" t="s">
        <v>14</v>
      </c>
      <c r="E1526" t="s">
        <v>63</v>
      </c>
      <c r="F1526" t="s">
        <v>9</v>
      </c>
      <c r="G1526" s="15">
        <v>73.78</v>
      </c>
      <c r="H1526" t="s">
        <v>25</v>
      </c>
      <c r="I1526">
        <v>1</v>
      </c>
      <c r="J1526" t="s">
        <v>44</v>
      </c>
      <c r="K1526" t="s">
        <v>46</v>
      </c>
      <c r="L1526" t="s">
        <v>45</v>
      </c>
      <c r="M1526" t="s">
        <v>61</v>
      </c>
      <c r="N1526" s="15">
        <v>68.150000000000006</v>
      </c>
      <c r="O1526" s="16">
        <v>8.3000000000000007</v>
      </c>
      <c r="P1526">
        <v>0</v>
      </c>
    </row>
    <row r="1527" spans="1:16" x14ac:dyDescent="0.3">
      <c r="A1527" t="s">
        <v>57</v>
      </c>
      <c r="B1527" t="s">
        <v>21</v>
      </c>
      <c r="C1527" t="s">
        <v>62</v>
      </c>
      <c r="D1527" t="s">
        <v>14</v>
      </c>
      <c r="E1527" t="s">
        <v>63</v>
      </c>
      <c r="F1527" t="s">
        <v>9</v>
      </c>
      <c r="G1527" s="15">
        <v>70.98</v>
      </c>
      <c r="H1527" t="s">
        <v>26</v>
      </c>
      <c r="I1527">
        <v>2</v>
      </c>
      <c r="J1527" t="s">
        <v>47</v>
      </c>
      <c r="K1527" t="s">
        <v>46</v>
      </c>
      <c r="L1527" t="s">
        <v>46</v>
      </c>
      <c r="M1527" t="s">
        <v>59</v>
      </c>
      <c r="N1527" s="15">
        <v>65.16</v>
      </c>
      <c r="O1527" s="16">
        <v>8.9</v>
      </c>
      <c r="P1527">
        <v>0</v>
      </c>
    </row>
    <row r="1528" spans="1:16" x14ac:dyDescent="0.3">
      <c r="A1528" t="s">
        <v>57</v>
      </c>
      <c r="B1528" t="s">
        <v>19</v>
      </c>
      <c r="C1528" t="s">
        <v>19</v>
      </c>
      <c r="D1528" t="s">
        <v>11</v>
      </c>
      <c r="E1528" t="s">
        <v>79</v>
      </c>
      <c r="F1528" t="s">
        <v>9</v>
      </c>
      <c r="G1528" s="15">
        <v>25.21</v>
      </c>
      <c r="H1528" t="s">
        <v>26</v>
      </c>
      <c r="I1528">
        <v>2</v>
      </c>
      <c r="J1528" t="s">
        <v>48</v>
      </c>
      <c r="K1528" t="s">
        <v>46</v>
      </c>
      <c r="L1528" t="s">
        <v>45</v>
      </c>
      <c r="M1528" t="s">
        <v>64</v>
      </c>
      <c r="N1528" s="15">
        <v>30.93</v>
      </c>
      <c r="O1528" s="16">
        <v>-18.5</v>
      </c>
      <c r="P1528">
        <v>0</v>
      </c>
    </row>
    <row r="1529" spans="1:16" x14ac:dyDescent="0.3">
      <c r="A1529" t="s">
        <v>65</v>
      </c>
      <c r="B1529" t="s">
        <v>18</v>
      </c>
      <c r="C1529" t="s">
        <v>18</v>
      </c>
      <c r="D1529" t="s">
        <v>15</v>
      </c>
      <c r="E1529" t="s">
        <v>76</v>
      </c>
      <c r="F1529" t="s">
        <v>9</v>
      </c>
      <c r="G1529" s="15">
        <v>111.48</v>
      </c>
      <c r="H1529" t="s">
        <v>27</v>
      </c>
      <c r="I1529">
        <v>3</v>
      </c>
      <c r="J1529" t="s">
        <v>48</v>
      </c>
      <c r="K1529" t="s">
        <v>46</v>
      </c>
      <c r="L1529" t="s">
        <v>46</v>
      </c>
      <c r="M1529" t="s">
        <v>59</v>
      </c>
      <c r="N1529" s="15">
        <v>126.51</v>
      </c>
      <c r="O1529" s="16">
        <v>-11.9</v>
      </c>
      <c r="P1529">
        <v>0</v>
      </c>
    </row>
    <row r="1530" spans="1:16" x14ac:dyDescent="0.3">
      <c r="A1530" t="s">
        <v>65</v>
      </c>
      <c r="B1530" t="s">
        <v>20</v>
      </c>
      <c r="C1530" t="s">
        <v>20</v>
      </c>
      <c r="D1530" t="s">
        <v>11</v>
      </c>
      <c r="E1530" t="s">
        <v>79</v>
      </c>
      <c r="F1530" t="s">
        <v>9</v>
      </c>
      <c r="G1530" s="15">
        <v>31.32</v>
      </c>
      <c r="H1530" t="s">
        <v>25</v>
      </c>
      <c r="I1530">
        <v>1</v>
      </c>
      <c r="J1530" t="s">
        <v>47</v>
      </c>
      <c r="K1530" t="s">
        <v>45</v>
      </c>
      <c r="L1530" t="s">
        <v>45</v>
      </c>
      <c r="M1530" t="s">
        <v>67</v>
      </c>
      <c r="N1530" s="15">
        <v>33.39</v>
      </c>
      <c r="O1530" s="16">
        <v>-6.2</v>
      </c>
      <c r="P1530">
        <v>0</v>
      </c>
    </row>
    <row r="1531" spans="1:16" x14ac:dyDescent="0.3">
      <c r="A1531" t="s">
        <v>57</v>
      </c>
      <c r="B1531" t="s">
        <v>17</v>
      </c>
      <c r="C1531" t="s">
        <v>17</v>
      </c>
      <c r="D1531" t="s">
        <v>11</v>
      </c>
      <c r="E1531" t="s">
        <v>70</v>
      </c>
      <c r="F1531" t="s">
        <v>9</v>
      </c>
      <c r="G1531" s="15">
        <v>31.34</v>
      </c>
      <c r="H1531" t="s">
        <v>27</v>
      </c>
      <c r="I1531">
        <v>3</v>
      </c>
      <c r="J1531" t="s">
        <v>48</v>
      </c>
      <c r="K1531" t="s">
        <v>45</v>
      </c>
      <c r="L1531" t="s">
        <v>45</v>
      </c>
      <c r="M1531" t="s">
        <v>61</v>
      </c>
      <c r="N1531" s="15">
        <v>30.5</v>
      </c>
      <c r="O1531" s="16">
        <v>2.8</v>
      </c>
      <c r="P1531">
        <v>0</v>
      </c>
    </row>
    <row r="1532" spans="1:16" x14ac:dyDescent="0.3">
      <c r="A1532" t="s">
        <v>57</v>
      </c>
      <c r="B1532" t="s">
        <v>21</v>
      </c>
      <c r="C1532" t="s">
        <v>62</v>
      </c>
      <c r="D1532" t="s">
        <v>11</v>
      </c>
      <c r="E1532" t="s">
        <v>79</v>
      </c>
      <c r="F1532" t="s">
        <v>9</v>
      </c>
      <c r="G1532" s="15">
        <v>28.72</v>
      </c>
      <c r="H1532" t="s">
        <v>26</v>
      </c>
      <c r="I1532">
        <v>2</v>
      </c>
      <c r="J1532" t="s">
        <v>47</v>
      </c>
      <c r="K1532" t="s">
        <v>46</v>
      </c>
      <c r="L1532" t="s">
        <v>45</v>
      </c>
      <c r="M1532" t="s">
        <v>61</v>
      </c>
      <c r="N1532" s="15">
        <v>30.93</v>
      </c>
      <c r="O1532" s="16">
        <v>-7.1</v>
      </c>
      <c r="P1532">
        <v>0</v>
      </c>
    </row>
    <row r="1533" spans="1:16" x14ac:dyDescent="0.3">
      <c r="A1533" t="s">
        <v>65</v>
      </c>
      <c r="B1533" t="s">
        <v>19</v>
      </c>
      <c r="C1533" t="s">
        <v>19</v>
      </c>
      <c r="D1533" t="s">
        <v>14</v>
      </c>
      <c r="E1533" t="s">
        <v>63</v>
      </c>
      <c r="F1533" t="s">
        <v>9</v>
      </c>
      <c r="G1533" s="15">
        <v>67.03</v>
      </c>
      <c r="H1533" t="s">
        <v>26</v>
      </c>
      <c r="I1533">
        <v>2</v>
      </c>
      <c r="J1533" t="s">
        <v>48</v>
      </c>
      <c r="K1533" t="s">
        <v>46</v>
      </c>
      <c r="L1533" t="s">
        <v>46</v>
      </c>
      <c r="M1533" t="s">
        <v>72</v>
      </c>
      <c r="N1533" s="15">
        <v>68.150000000000006</v>
      </c>
      <c r="O1533" s="16">
        <v>-1.6</v>
      </c>
      <c r="P1533">
        <v>0</v>
      </c>
    </row>
    <row r="1534" spans="1:16" x14ac:dyDescent="0.3">
      <c r="A1534" t="s">
        <v>65</v>
      </c>
      <c r="B1534" t="s">
        <v>19</v>
      </c>
      <c r="C1534" t="s">
        <v>19</v>
      </c>
      <c r="D1534" t="s">
        <v>12</v>
      </c>
      <c r="E1534" t="s">
        <v>66</v>
      </c>
      <c r="F1534" t="s">
        <v>13</v>
      </c>
      <c r="G1534" s="15">
        <v>141.58000000000001</v>
      </c>
      <c r="H1534" t="s">
        <v>26</v>
      </c>
      <c r="I1534">
        <v>2</v>
      </c>
      <c r="J1534" t="s">
        <v>47</v>
      </c>
      <c r="K1534" t="s">
        <v>46</v>
      </c>
      <c r="L1534" t="s">
        <v>45</v>
      </c>
      <c r="M1534" t="s">
        <v>72</v>
      </c>
      <c r="N1534" s="15">
        <v>178.49</v>
      </c>
      <c r="O1534" s="16">
        <v>-20.7</v>
      </c>
      <c r="P1534">
        <v>0</v>
      </c>
    </row>
    <row r="1535" spans="1:16" x14ac:dyDescent="0.3">
      <c r="A1535" t="s">
        <v>57</v>
      </c>
      <c r="B1535" t="s">
        <v>19</v>
      </c>
      <c r="C1535" t="s">
        <v>19</v>
      </c>
      <c r="D1535" t="s">
        <v>11</v>
      </c>
      <c r="E1535" t="s">
        <v>70</v>
      </c>
      <c r="F1535" t="s">
        <v>9</v>
      </c>
      <c r="G1535" s="15">
        <v>33.799999999999997</v>
      </c>
      <c r="H1535" t="s">
        <v>26</v>
      </c>
      <c r="I1535">
        <v>2</v>
      </c>
      <c r="J1535" t="s">
        <v>44</v>
      </c>
      <c r="K1535" t="s">
        <v>46</v>
      </c>
      <c r="L1535" t="s">
        <v>45</v>
      </c>
      <c r="M1535" t="s">
        <v>61</v>
      </c>
      <c r="N1535" s="15">
        <v>30.5</v>
      </c>
      <c r="O1535" s="16">
        <v>10.8</v>
      </c>
      <c r="P1535">
        <v>0</v>
      </c>
    </row>
    <row r="1536" spans="1:16" x14ac:dyDescent="0.3">
      <c r="A1536" t="s">
        <v>57</v>
      </c>
      <c r="B1536" t="s">
        <v>21</v>
      </c>
      <c r="C1536" t="s">
        <v>62</v>
      </c>
      <c r="D1536" t="s">
        <v>15</v>
      </c>
      <c r="E1536" t="s">
        <v>76</v>
      </c>
      <c r="F1536" t="s">
        <v>9</v>
      </c>
      <c r="G1536" s="15">
        <v>140</v>
      </c>
      <c r="H1536" t="s">
        <v>25</v>
      </c>
      <c r="I1536">
        <v>1</v>
      </c>
      <c r="J1536" t="s">
        <v>47</v>
      </c>
      <c r="K1536" t="s">
        <v>45</v>
      </c>
      <c r="L1536" t="s">
        <v>45</v>
      </c>
      <c r="M1536" t="s">
        <v>59</v>
      </c>
      <c r="N1536" s="15">
        <v>118.59</v>
      </c>
      <c r="O1536" s="16">
        <v>18.100000000000001</v>
      </c>
      <c r="P1536">
        <v>1</v>
      </c>
    </row>
    <row r="1537" spans="1:16" x14ac:dyDescent="0.3">
      <c r="A1537" t="s">
        <v>65</v>
      </c>
      <c r="B1537" t="s">
        <v>20</v>
      </c>
      <c r="C1537" t="s">
        <v>20</v>
      </c>
      <c r="D1537" t="s">
        <v>11</v>
      </c>
      <c r="E1537" t="s">
        <v>79</v>
      </c>
      <c r="F1537" t="s">
        <v>9</v>
      </c>
      <c r="G1537" s="15">
        <v>30.89</v>
      </c>
      <c r="H1537" t="s">
        <v>26</v>
      </c>
      <c r="I1537">
        <v>2</v>
      </c>
      <c r="J1537" t="s">
        <v>44</v>
      </c>
      <c r="K1537" t="s">
        <v>45</v>
      </c>
      <c r="L1537" t="s">
        <v>45</v>
      </c>
      <c r="M1537" t="s">
        <v>61</v>
      </c>
      <c r="N1537" s="15">
        <v>33.39</v>
      </c>
      <c r="O1537" s="16">
        <v>-7.5</v>
      </c>
      <c r="P1537">
        <v>0</v>
      </c>
    </row>
    <row r="1538" spans="1:16" x14ac:dyDescent="0.3">
      <c r="A1538" t="s">
        <v>65</v>
      </c>
      <c r="B1538" t="s">
        <v>19</v>
      </c>
      <c r="C1538" t="s">
        <v>19</v>
      </c>
      <c r="D1538" t="s">
        <v>14</v>
      </c>
      <c r="E1538" t="s">
        <v>71</v>
      </c>
      <c r="F1538" t="s">
        <v>9</v>
      </c>
      <c r="G1538" s="15">
        <v>70.87</v>
      </c>
      <c r="H1538" t="s">
        <v>27</v>
      </c>
      <c r="I1538">
        <v>3</v>
      </c>
      <c r="J1538" t="s">
        <v>48</v>
      </c>
      <c r="K1538" t="s">
        <v>45</v>
      </c>
      <c r="L1538" t="s">
        <v>45</v>
      </c>
      <c r="M1538" t="s">
        <v>68</v>
      </c>
      <c r="N1538" s="15">
        <v>71.77</v>
      </c>
      <c r="O1538" s="16">
        <v>-1.3</v>
      </c>
      <c r="P1538">
        <v>0</v>
      </c>
    </row>
    <row r="1539" spans="1:16" x14ac:dyDescent="0.3">
      <c r="A1539" t="s">
        <v>65</v>
      </c>
      <c r="B1539" t="s">
        <v>21</v>
      </c>
      <c r="C1539" t="s">
        <v>62</v>
      </c>
      <c r="D1539" t="s">
        <v>14</v>
      </c>
      <c r="E1539" t="s">
        <v>63</v>
      </c>
      <c r="F1539" t="s">
        <v>9</v>
      </c>
      <c r="G1539" s="15">
        <v>80</v>
      </c>
      <c r="H1539" t="s">
        <v>26</v>
      </c>
      <c r="I1539">
        <v>2</v>
      </c>
      <c r="J1539" t="s">
        <v>44</v>
      </c>
      <c r="K1539" t="s">
        <v>45</v>
      </c>
      <c r="L1539" t="s">
        <v>46</v>
      </c>
      <c r="M1539" t="s">
        <v>72</v>
      </c>
      <c r="N1539" s="15">
        <v>68.150000000000006</v>
      </c>
      <c r="O1539" s="16">
        <v>17.399999999999999</v>
      </c>
      <c r="P1539">
        <v>1</v>
      </c>
    </row>
    <row r="1540" spans="1:16" x14ac:dyDescent="0.3">
      <c r="A1540" t="s">
        <v>57</v>
      </c>
      <c r="B1540" t="s">
        <v>19</v>
      </c>
      <c r="C1540" t="s">
        <v>19</v>
      </c>
      <c r="D1540" t="s">
        <v>8</v>
      </c>
      <c r="E1540" t="s">
        <v>74</v>
      </c>
      <c r="F1540" t="s">
        <v>9</v>
      </c>
      <c r="G1540" s="15">
        <v>88.49</v>
      </c>
      <c r="H1540" t="s">
        <v>26</v>
      </c>
      <c r="I1540">
        <v>2</v>
      </c>
      <c r="J1540" t="s">
        <v>48</v>
      </c>
      <c r="K1540" t="s">
        <v>45</v>
      </c>
      <c r="L1540" t="s">
        <v>45</v>
      </c>
      <c r="M1540" t="s">
        <v>59</v>
      </c>
      <c r="N1540" s="15">
        <v>83.41</v>
      </c>
      <c r="O1540" s="16">
        <v>6.1</v>
      </c>
      <c r="P1540">
        <v>0</v>
      </c>
    </row>
    <row r="1541" spans="1:16" x14ac:dyDescent="0.3">
      <c r="A1541" t="s">
        <v>60</v>
      </c>
      <c r="B1541" t="s">
        <v>18</v>
      </c>
      <c r="C1541" t="s">
        <v>18</v>
      </c>
      <c r="D1541" t="s">
        <v>14</v>
      </c>
      <c r="E1541" t="s">
        <v>77</v>
      </c>
      <c r="F1541" t="s">
        <v>9</v>
      </c>
      <c r="G1541" s="15">
        <v>59.14</v>
      </c>
      <c r="H1541" t="s">
        <v>26</v>
      </c>
      <c r="I1541">
        <v>2</v>
      </c>
      <c r="J1541" t="s">
        <v>48</v>
      </c>
      <c r="K1541" t="s">
        <v>46</v>
      </c>
      <c r="L1541" t="s">
        <v>45</v>
      </c>
      <c r="M1541" t="s">
        <v>61</v>
      </c>
      <c r="N1541" s="15">
        <v>67.13</v>
      </c>
      <c r="O1541" s="16">
        <v>-11.9</v>
      </c>
      <c r="P1541">
        <v>0</v>
      </c>
    </row>
    <row r="1542" spans="1:16" x14ac:dyDescent="0.3">
      <c r="A1542" t="s">
        <v>65</v>
      </c>
      <c r="B1542" t="s">
        <v>19</v>
      </c>
      <c r="C1542" t="s">
        <v>19</v>
      </c>
      <c r="D1542" t="s">
        <v>15</v>
      </c>
      <c r="E1542" t="s">
        <v>75</v>
      </c>
      <c r="F1542" t="s">
        <v>9</v>
      </c>
      <c r="G1542" s="15">
        <v>140</v>
      </c>
      <c r="H1542" t="s">
        <v>25</v>
      </c>
      <c r="I1542">
        <v>1</v>
      </c>
      <c r="J1542" t="s">
        <v>47</v>
      </c>
      <c r="K1542" t="s">
        <v>45</v>
      </c>
      <c r="L1542" t="s">
        <v>46</v>
      </c>
      <c r="M1542" t="s">
        <v>72</v>
      </c>
      <c r="N1542" s="15">
        <v>126.9</v>
      </c>
      <c r="O1542" s="16">
        <v>10.3</v>
      </c>
      <c r="P1542">
        <v>0</v>
      </c>
    </row>
    <row r="1543" spans="1:16" x14ac:dyDescent="0.3">
      <c r="A1543" t="s">
        <v>65</v>
      </c>
      <c r="B1543" t="s">
        <v>18</v>
      </c>
      <c r="C1543" t="s">
        <v>18</v>
      </c>
      <c r="D1543" t="s">
        <v>8</v>
      </c>
      <c r="E1543" t="s">
        <v>73</v>
      </c>
      <c r="F1543" t="s">
        <v>9</v>
      </c>
      <c r="G1543" s="15">
        <v>111.05</v>
      </c>
      <c r="H1543" t="s">
        <v>25</v>
      </c>
      <c r="I1543">
        <v>1</v>
      </c>
      <c r="J1543" t="s">
        <v>44</v>
      </c>
      <c r="K1543" t="s">
        <v>45</v>
      </c>
      <c r="L1543" t="s">
        <v>46</v>
      </c>
      <c r="M1543" t="s">
        <v>64</v>
      </c>
      <c r="N1543" s="15">
        <v>88.05</v>
      </c>
      <c r="O1543" s="16">
        <v>26.1</v>
      </c>
      <c r="P1543">
        <v>1</v>
      </c>
    </row>
    <row r="1544" spans="1:16" x14ac:dyDescent="0.3">
      <c r="A1544" t="s">
        <v>65</v>
      </c>
      <c r="B1544" t="s">
        <v>20</v>
      </c>
      <c r="C1544" t="s">
        <v>20</v>
      </c>
      <c r="D1544" t="s">
        <v>10</v>
      </c>
      <c r="E1544" t="s">
        <v>69</v>
      </c>
      <c r="F1544" t="s">
        <v>9</v>
      </c>
      <c r="G1544" s="15">
        <v>192.49</v>
      </c>
      <c r="H1544" t="s">
        <v>26</v>
      </c>
      <c r="I1544">
        <v>2</v>
      </c>
      <c r="J1544" t="s">
        <v>47</v>
      </c>
      <c r="K1544" t="s">
        <v>45</v>
      </c>
      <c r="L1544" t="s">
        <v>45</v>
      </c>
      <c r="M1544" t="s">
        <v>72</v>
      </c>
      <c r="N1544" s="15">
        <v>158.91999999999999</v>
      </c>
      <c r="O1544" s="16">
        <v>21.1</v>
      </c>
      <c r="P1544">
        <v>1</v>
      </c>
    </row>
    <row r="1545" spans="1:16" x14ac:dyDescent="0.3">
      <c r="A1545" t="s">
        <v>57</v>
      </c>
      <c r="B1545" t="s">
        <v>22</v>
      </c>
      <c r="C1545" t="s">
        <v>22</v>
      </c>
      <c r="D1545" t="s">
        <v>8</v>
      </c>
      <c r="E1545" t="s">
        <v>74</v>
      </c>
      <c r="F1545" t="s">
        <v>9</v>
      </c>
      <c r="G1545" s="15">
        <v>78.83</v>
      </c>
      <c r="H1545" t="s">
        <v>26</v>
      </c>
      <c r="I1545">
        <v>2</v>
      </c>
      <c r="J1545" t="s">
        <v>47</v>
      </c>
      <c r="K1545" t="s">
        <v>46</v>
      </c>
      <c r="L1545" t="s">
        <v>46</v>
      </c>
      <c r="M1545" t="s">
        <v>67</v>
      </c>
      <c r="N1545" s="15">
        <v>83.41</v>
      </c>
      <c r="O1545" s="16">
        <v>-5.5</v>
      </c>
      <c r="P1545">
        <v>0</v>
      </c>
    </row>
    <row r="1546" spans="1:16" x14ac:dyDescent="0.3">
      <c r="A1546" t="s">
        <v>57</v>
      </c>
      <c r="B1546" t="s">
        <v>17</v>
      </c>
      <c r="C1546" t="s">
        <v>17</v>
      </c>
      <c r="D1546" t="s">
        <v>8</v>
      </c>
      <c r="E1546" t="s">
        <v>74</v>
      </c>
      <c r="F1546" t="s">
        <v>9</v>
      </c>
      <c r="G1546" s="15">
        <v>62.8</v>
      </c>
      <c r="H1546" t="s">
        <v>25</v>
      </c>
      <c r="I1546">
        <v>1</v>
      </c>
      <c r="J1546" t="s">
        <v>47</v>
      </c>
      <c r="K1546" t="s">
        <v>46</v>
      </c>
      <c r="L1546" t="s">
        <v>45</v>
      </c>
      <c r="M1546" t="s">
        <v>67</v>
      </c>
      <c r="N1546" s="15">
        <v>83.41</v>
      </c>
      <c r="O1546" s="16">
        <v>-24.7</v>
      </c>
      <c r="P1546">
        <v>0</v>
      </c>
    </row>
    <row r="1547" spans="1:16" x14ac:dyDescent="0.3">
      <c r="A1547" t="s">
        <v>60</v>
      </c>
      <c r="B1547" t="s">
        <v>19</v>
      </c>
      <c r="C1547" t="s">
        <v>19</v>
      </c>
      <c r="D1547" t="s">
        <v>8</v>
      </c>
      <c r="E1547" t="s">
        <v>73</v>
      </c>
      <c r="F1547" t="s">
        <v>9</v>
      </c>
      <c r="G1547" s="15">
        <v>88.9</v>
      </c>
      <c r="H1547" t="s">
        <v>26</v>
      </c>
      <c r="I1547">
        <v>2</v>
      </c>
      <c r="J1547" t="s">
        <v>48</v>
      </c>
      <c r="K1547" t="s">
        <v>46</v>
      </c>
      <c r="L1547" t="s">
        <v>46</v>
      </c>
      <c r="M1547" t="s">
        <v>64</v>
      </c>
      <c r="N1547" s="15">
        <v>82.04</v>
      </c>
      <c r="O1547" s="16">
        <v>8.4</v>
      </c>
      <c r="P1547">
        <v>0</v>
      </c>
    </row>
    <row r="1548" spans="1:16" x14ac:dyDescent="0.3">
      <c r="A1548" t="s">
        <v>57</v>
      </c>
      <c r="B1548" t="s">
        <v>19</v>
      </c>
      <c r="C1548" t="s">
        <v>19</v>
      </c>
      <c r="D1548" t="s">
        <v>14</v>
      </c>
      <c r="E1548" t="s">
        <v>63</v>
      </c>
      <c r="F1548" t="s">
        <v>9</v>
      </c>
      <c r="G1548" s="15">
        <v>71.790000000000006</v>
      </c>
      <c r="H1548" t="s">
        <v>25</v>
      </c>
      <c r="I1548">
        <v>1</v>
      </c>
      <c r="J1548" t="s">
        <v>48</v>
      </c>
      <c r="K1548" t="s">
        <v>46</v>
      </c>
      <c r="L1548" t="s">
        <v>45</v>
      </c>
      <c r="M1548" t="s">
        <v>64</v>
      </c>
      <c r="N1548" s="15">
        <v>65.16</v>
      </c>
      <c r="O1548" s="16">
        <v>10.199999999999999</v>
      </c>
      <c r="P1548">
        <v>0</v>
      </c>
    </row>
    <row r="1549" spans="1:16" x14ac:dyDescent="0.3">
      <c r="A1549" t="s">
        <v>57</v>
      </c>
      <c r="B1549" t="s">
        <v>19</v>
      </c>
      <c r="C1549" t="s">
        <v>19</v>
      </c>
      <c r="D1549" t="s">
        <v>8</v>
      </c>
      <c r="E1549" t="s">
        <v>73</v>
      </c>
      <c r="F1549" t="s">
        <v>9</v>
      </c>
      <c r="G1549" s="15">
        <v>83.4</v>
      </c>
      <c r="H1549" t="s">
        <v>26</v>
      </c>
      <c r="I1549">
        <v>2</v>
      </c>
      <c r="J1549" t="s">
        <v>48</v>
      </c>
      <c r="K1549" t="s">
        <v>46</v>
      </c>
      <c r="L1549" t="s">
        <v>46</v>
      </c>
      <c r="M1549" t="s">
        <v>59</v>
      </c>
      <c r="N1549" s="15">
        <v>86.06</v>
      </c>
      <c r="O1549" s="16">
        <v>-3.1</v>
      </c>
      <c r="P1549">
        <v>0</v>
      </c>
    </row>
    <row r="1550" spans="1:16" x14ac:dyDescent="0.3">
      <c r="A1550" t="s">
        <v>57</v>
      </c>
      <c r="B1550" t="s">
        <v>20</v>
      </c>
      <c r="C1550" t="s">
        <v>20</v>
      </c>
      <c r="D1550" t="s">
        <v>11</v>
      </c>
      <c r="E1550" t="s">
        <v>70</v>
      </c>
      <c r="F1550" t="s">
        <v>9</v>
      </c>
      <c r="G1550" s="15">
        <v>26.36</v>
      </c>
      <c r="H1550" t="s">
        <v>27</v>
      </c>
      <c r="I1550">
        <v>3</v>
      </c>
      <c r="J1550" t="s">
        <v>48</v>
      </c>
      <c r="K1550" t="s">
        <v>46</v>
      </c>
      <c r="L1550" t="s">
        <v>45</v>
      </c>
      <c r="M1550" t="s">
        <v>78</v>
      </c>
      <c r="N1550" s="15">
        <v>30.5</v>
      </c>
      <c r="O1550" s="16">
        <v>-13.6</v>
      </c>
      <c r="P1550">
        <v>0</v>
      </c>
    </row>
    <row r="1551" spans="1:16" x14ac:dyDescent="0.3">
      <c r="A1551" t="s">
        <v>60</v>
      </c>
      <c r="B1551" t="s">
        <v>21</v>
      </c>
      <c r="C1551" t="s">
        <v>62</v>
      </c>
      <c r="D1551" t="s">
        <v>14</v>
      </c>
      <c r="E1551" t="s">
        <v>63</v>
      </c>
      <c r="F1551" t="s">
        <v>9</v>
      </c>
      <c r="G1551" s="15">
        <v>65.489999999999995</v>
      </c>
      <c r="H1551" t="s">
        <v>27</v>
      </c>
      <c r="I1551">
        <v>3</v>
      </c>
      <c r="J1551" t="s">
        <v>47</v>
      </c>
      <c r="K1551" t="s">
        <v>46</v>
      </c>
      <c r="L1551" t="s">
        <v>45</v>
      </c>
      <c r="M1551" t="s">
        <v>61</v>
      </c>
      <c r="N1551" s="15">
        <v>66.680000000000007</v>
      </c>
      <c r="O1551" s="16">
        <v>-1.8</v>
      </c>
      <c r="P1551">
        <v>0</v>
      </c>
    </row>
    <row r="1552" spans="1:16" x14ac:dyDescent="0.3">
      <c r="A1552" t="s">
        <v>65</v>
      </c>
      <c r="B1552" t="s">
        <v>19</v>
      </c>
      <c r="C1552" t="s">
        <v>19</v>
      </c>
      <c r="D1552" t="s">
        <v>12</v>
      </c>
      <c r="E1552" t="s">
        <v>66</v>
      </c>
      <c r="F1552" t="s">
        <v>13</v>
      </c>
      <c r="G1552" s="15">
        <v>173.06</v>
      </c>
      <c r="H1552" t="s">
        <v>26</v>
      </c>
      <c r="I1552">
        <v>2</v>
      </c>
      <c r="J1552" t="s">
        <v>44</v>
      </c>
      <c r="K1552" t="s">
        <v>45</v>
      </c>
      <c r="L1552" t="s">
        <v>45</v>
      </c>
      <c r="M1552" t="s">
        <v>67</v>
      </c>
      <c r="N1552" s="15">
        <v>178.49</v>
      </c>
      <c r="O1552" s="16">
        <v>-3</v>
      </c>
      <c r="P1552">
        <v>0</v>
      </c>
    </row>
    <row r="1553" spans="1:16" x14ac:dyDescent="0.3">
      <c r="A1553" t="s">
        <v>65</v>
      </c>
      <c r="B1553" t="s">
        <v>22</v>
      </c>
      <c r="C1553" t="s">
        <v>22</v>
      </c>
      <c r="D1553" t="s">
        <v>8</v>
      </c>
      <c r="E1553" t="s">
        <v>73</v>
      </c>
      <c r="F1553" t="s">
        <v>9</v>
      </c>
      <c r="G1553" s="15">
        <v>112.84</v>
      </c>
      <c r="H1553" t="s">
        <v>25</v>
      </c>
      <c r="I1553">
        <v>1</v>
      </c>
      <c r="J1553" t="s">
        <v>47</v>
      </c>
      <c r="K1553" t="s">
        <v>45</v>
      </c>
      <c r="L1553" t="s">
        <v>46</v>
      </c>
      <c r="M1553" t="s">
        <v>59</v>
      </c>
      <c r="N1553" s="15">
        <v>88.05</v>
      </c>
      <c r="O1553" s="16">
        <v>28.2</v>
      </c>
      <c r="P1553">
        <v>1</v>
      </c>
    </row>
    <row r="1554" spans="1:16" x14ac:dyDescent="0.3">
      <c r="A1554" t="s">
        <v>60</v>
      </c>
      <c r="B1554" t="s">
        <v>22</v>
      </c>
      <c r="C1554" t="s">
        <v>22</v>
      </c>
      <c r="D1554" t="s">
        <v>12</v>
      </c>
      <c r="E1554" t="s">
        <v>66</v>
      </c>
      <c r="F1554" t="s">
        <v>13</v>
      </c>
      <c r="G1554" s="15">
        <v>158.44</v>
      </c>
      <c r="H1554" t="s">
        <v>26</v>
      </c>
      <c r="I1554">
        <v>2</v>
      </c>
      <c r="J1554" t="s">
        <v>48</v>
      </c>
      <c r="K1554" t="s">
        <v>45</v>
      </c>
      <c r="L1554" t="s">
        <v>45</v>
      </c>
      <c r="M1554" t="s">
        <v>61</v>
      </c>
      <c r="N1554" s="15">
        <v>168.34</v>
      </c>
      <c r="O1554" s="16">
        <v>-5.9</v>
      </c>
      <c r="P1554">
        <v>0</v>
      </c>
    </row>
    <row r="1555" spans="1:16" x14ac:dyDescent="0.3">
      <c r="A1555" t="s">
        <v>57</v>
      </c>
      <c r="B1555" t="s">
        <v>20</v>
      </c>
      <c r="C1555" t="s">
        <v>20</v>
      </c>
      <c r="D1555" t="s">
        <v>12</v>
      </c>
      <c r="E1555" t="s">
        <v>80</v>
      </c>
      <c r="F1555" t="s">
        <v>13</v>
      </c>
      <c r="G1555" s="15">
        <v>160.58000000000001</v>
      </c>
      <c r="H1555" t="s">
        <v>27</v>
      </c>
      <c r="I1555">
        <v>3</v>
      </c>
      <c r="J1555" t="s">
        <v>48</v>
      </c>
      <c r="K1555" t="s">
        <v>45</v>
      </c>
      <c r="L1555" t="s">
        <v>45</v>
      </c>
      <c r="M1555" t="s">
        <v>61</v>
      </c>
      <c r="N1555" s="15">
        <v>162.72999999999999</v>
      </c>
      <c r="O1555" s="16">
        <v>-1.3</v>
      </c>
      <c r="P1555">
        <v>0</v>
      </c>
    </row>
    <row r="1556" spans="1:16" x14ac:dyDescent="0.3">
      <c r="A1556" t="s">
        <v>65</v>
      </c>
      <c r="B1556" t="s">
        <v>21</v>
      </c>
      <c r="C1556" t="s">
        <v>62</v>
      </c>
      <c r="D1556" t="s">
        <v>12</v>
      </c>
      <c r="E1556" t="s">
        <v>66</v>
      </c>
      <c r="F1556" t="s">
        <v>13</v>
      </c>
      <c r="G1556" s="15">
        <v>178.49</v>
      </c>
      <c r="H1556" t="s">
        <v>26</v>
      </c>
      <c r="I1556">
        <v>2</v>
      </c>
      <c r="J1556" t="s">
        <v>48</v>
      </c>
      <c r="K1556" t="s">
        <v>45</v>
      </c>
      <c r="L1556" t="s">
        <v>46</v>
      </c>
      <c r="M1556" t="s">
        <v>61</v>
      </c>
      <c r="N1556" s="15">
        <v>178.49</v>
      </c>
      <c r="O1556" s="16">
        <v>0</v>
      </c>
      <c r="P1556">
        <v>0</v>
      </c>
    </row>
    <row r="1557" spans="1:16" x14ac:dyDescent="0.3">
      <c r="A1557" t="s">
        <v>65</v>
      </c>
      <c r="B1557" t="s">
        <v>19</v>
      </c>
      <c r="C1557" t="s">
        <v>19</v>
      </c>
      <c r="D1557" t="s">
        <v>10</v>
      </c>
      <c r="E1557" t="s">
        <v>58</v>
      </c>
      <c r="F1557" t="s">
        <v>9</v>
      </c>
      <c r="G1557" s="15">
        <v>179.26</v>
      </c>
      <c r="H1557" t="s">
        <v>25</v>
      </c>
      <c r="I1557">
        <v>1</v>
      </c>
      <c r="J1557" t="s">
        <v>47</v>
      </c>
      <c r="K1557" t="s">
        <v>45</v>
      </c>
      <c r="L1557" t="s">
        <v>46</v>
      </c>
      <c r="M1557" t="s">
        <v>64</v>
      </c>
      <c r="N1557" s="15">
        <v>166.29</v>
      </c>
      <c r="O1557" s="16">
        <v>7.8</v>
      </c>
      <c r="P1557">
        <v>0</v>
      </c>
    </row>
    <row r="1558" spans="1:16" x14ac:dyDescent="0.3">
      <c r="A1558" t="s">
        <v>65</v>
      </c>
      <c r="B1558" t="s">
        <v>19</v>
      </c>
      <c r="C1558" t="s">
        <v>19</v>
      </c>
      <c r="D1558" t="s">
        <v>14</v>
      </c>
      <c r="E1558" t="s">
        <v>77</v>
      </c>
      <c r="F1558" t="s">
        <v>9</v>
      </c>
      <c r="G1558" s="15">
        <v>65.33</v>
      </c>
      <c r="H1558" t="s">
        <v>26</v>
      </c>
      <c r="I1558">
        <v>2</v>
      </c>
      <c r="J1558" t="s">
        <v>47</v>
      </c>
      <c r="K1558" t="s">
        <v>46</v>
      </c>
      <c r="L1558" t="s">
        <v>46</v>
      </c>
      <c r="M1558" t="s">
        <v>64</v>
      </c>
      <c r="N1558" s="15">
        <v>70.66</v>
      </c>
      <c r="O1558" s="16">
        <v>-7.5</v>
      </c>
      <c r="P1558">
        <v>0</v>
      </c>
    </row>
    <row r="1559" spans="1:16" x14ac:dyDescent="0.3">
      <c r="A1559" t="s">
        <v>65</v>
      </c>
      <c r="B1559" t="s">
        <v>22</v>
      </c>
      <c r="C1559" t="s">
        <v>22</v>
      </c>
      <c r="D1559" t="s">
        <v>10</v>
      </c>
      <c r="E1559" t="s">
        <v>58</v>
      </c>
      <c r="F1559" t="s">
        <v>9</v>
      </c>
      <c r="G1559" s="15">
        <v>118.97</v>
      </c>
      <c r="H1559" t="s">
        <v>26</v>
      </c>
      <c r="I1559">
        <v>2</v>
      </c>
      <c r="J1559" t="s">
        <v>47</v>
      </c>
      <c r="K1559" t="s">
        <v>46</v>
      </c>
      <c r="L1559" t="s">
        <v>45</v>
      </c>
      <c r="M1559" t="s">
        <v>67</v>
      </c>
      <c r="N1559" s="15">
        <v>166.29</v>
      </c>
      <c r="O1559" s="16">
        <v>-28.5</v>
      </c>
      <c r="P1559">
        <v>0</v>
      </c>
    </row>
    <row r="1560" spans="1:16" x14ac:dyDescent="0.3">
      <c r="A1560" t="s">
        <v>57</v>
      </c>
      <c r="B1560" t="s">
        <v>19</v>
      </c>
      <c r="C1560" t="s">
        <v>19</v>
      </c>
      <c r="D1560" t="s">
        <v>12</v>
      </c>
      <c r="E1560" t="s">
        <v>80</v>
      </c>
      <c r="F1560" t="s">
        <v>13</v>
      </c>
      <c r="G1560" s="15">
        <v>135.22999999999999</v>
      </c>
      <c r="H1560" t="s">
        <v>27</v>
      </c>
      <c r="I1560">
        <v>3</v>
      </c>
      <c r="J1560" t="s">
        <v>48</v>
      </c>
      <c r="K1560" t="s">
        <v>46</v>
      </c>
      <c r="L1560" t="s">
        <v>45</v>
      </c>
      <c r="M1560" t="s">
        <v>68</v>
      </c>
      <c r="N1560" s="15">
        <v>162.72999999999999</v>
      </c>
      <c r="O1560" s="16">
        <v>-16.899999999999999</v>
      </c>
      <c r="P1560">
        <v>0</v>
      </c>
    </row>
    <row r="1561" spans="1:16" x14ac:dyDescent="0.3">
      <c r="A1561" t="s">
        <v>65</v>
      </c>
      <c r="B1561" t="s">
        <v>17</v>
      </c>
      <c r="C1561" t="s">
        <v>17</v>
      </c>
      <c r="D1561" t="s">
        <v>10</v>
      </c>
      <c r="E1561" t="s">
        <v>58</v>
      </c>
      <c r="F1561" t="s">
        <v>9</v>
      </c>
      <c r="G1561" s="15">
        <v>152.74</v>
      </c>
      <c r="H1561" t="s">
        <v>27</v>
      </c>
      <c r="I1561">
        <v>3</v>
      </c>
      <c r="J1561" t="s">
        <v>47</v>
      </c>
      <c r="K1561" t="s">
        <v>46</v>
      </c>
      <c r="L1561" t="s">
        <v>46</v>
      </c>
      <c r="M1561" t="s">
        <v>78</v>
      </c>
      <c r="N1561" s="15">
        <v>166.29</v>
      </c>
      <c r="O1561" s="16">
        <v>-8.1</v>
      </c>
      <c r="P1561">
        <v>0</v>
      </c>
    </row>
    <row r="1562" spans="1:16" x14ac:dyDescent="0.3">
      <c r="A1562" t="s">
        <v>57</v>
      </c>
      <c r="B1562" t="s">
        <v>17</v>
      </c>
      <c r="C1562" t="s">
        <v>17</v>
      </c>
      <c r="D1562" t="s">
        <v>12</v>
      </c>
      <c r="E1562" t="s">
        <v>80</v>
      </c>
      <c r="F1562" t="s">
        <v>13</v>
      </c>
      <c r="G1562" s="15">
        <v>141.33000000000001</v>
      </c>
      <c r="H1562" t="s">
        <v>27</v>
      </c>
      <c r="I1562">
        <v>3</v>
      </c>
      <c r="J1562" t="s">
        <v>48</v>
      </c>
      <c r="K1562" t="s">
        <v>45</v>
      </c>
      <c r="L1562" t="s">
        <v>45</v>
      </c>
      <c r="M1562" t="s">
        <v>64</v>
      </c>
      <c r="N1562" s="15">
        <v>162.72999999999999</v>
      </c>
      <c r="O1562" s="16">
        <v>-13.2</v>
      </c>
      <c r="P1562">
        <v>0</v>
      </c>
    </row>
    <row r="1563" spans="1:16" x14ac:dyDescent="0.3">
      <c r="A1563" t="s">
        <v>57</v>
      </c>
      <c r="B1563" t="s">
        <v>17</v>
      </c>
      <c r="C1563" t="s">
        <v>17</v>
      </c>
      <c r="D1563" t="s">
        <v>10</v>
      </c>
      <c r="E1563" t="s">
        <v>69</v>
      </c>
      <c r="F1563" t="s">
        <v>9</v>
      </c>
      <c r="G1563" s="15">
        <v>143.86000000000001</v>
      </c>
      <c r="H1563" t="s">
        <v>25</v>
      </c>
      <c r="I1563">
        <v>1</v>
      </c>
      <c r="J1563" t="s">
        <v>48</v>
      </c>
      <c r="K1563" t="s">
        <v>45</v>
      </c>
      <c r="L1563" t="s">
        <v>45</v>
      </c>
      <c r="M1563" t="s">
        <v>67</v>
      </c>
      <c r="N1563" s="15">
        <v>150.38999999999999</v>
      </c>
      <c r="O1563" s="16">
        <v>-4.3</v>
      </c>
      <c r="P1563">
        <v>0</v>
      </c>
    </row>
    <row r="1564" spans="1:16" x14ac:dyDescent="0.3">
      <c r="A1564" t="s">
        <v>60</v>
      </c>
      <c r="B1564" t="s">
        <v>18</v>
      </c>
      <c r="C1564" t="s">
        <v>18</v>
      </c>
      <c r="D1564" t="s">
        <v>14</v>
      </c>
      <c r="E1564" t="s">
        <v>77</v>
      </c>
      <c r="F1564" t="s">
        <v>9</v>
      </c>
      <c r="G1564" s="15">
        <v>61.32</v>
      </c>
      <c r="H1564" t="s">
        <v>26</v>
      </c>
      <c r="I1564">
        <v>2</v>
      </c>
      <c r="J1564" t="s">
        <v>48</v>
      </c>
      <c r="K1564" t="s">
        <v>45</v>
      </c>
      <c r="L1564" t="s">
        <v>45</v>
      </c>
      <c r="M1564" t="s">
        <v>68</v>
      </c>
      <c r="N1564" s="15">
        <v>67.13</v>
      </c>
      <c r="O1564" s="16">
        <v>-8.6999999999999993</v>
      </c>
      <c r="P1564">
        <v>0</v>
      </c>
    </row>
    <row r="1565" spans="1:16" x14ac:dyDescent="0.3">
      <c r="A1565" t="s">
        <v>57</v>
      </c>
      <c r="B1565" t="s">
        <v>21</v>
      </c>
      <c r="C1565" t="s">
        <v>62</v>
      </c>
      <c r="D1565" t="s">
        <v>14</v>
      </c>
      <c r="E1565" t="s">
        <v>63</v>
      </c>
      <c r="F1565" t="s">
        <v>9</v>
      </c>
      <c r="G1565" s="15">
        <v>61.21</v>
      </c>
      <c r="H1565" t="s">
        <v>27</v>
      </c>
      <c r="I1565">
        <v>3</v>
      </c>
      <c r="J1565" t="s">
        <v>48</v>
      </c>
      <c r="K1565" t="s">
        <v>45</v>
      </c>
      <c r="L1565" t="s">
        <v>45</v>
      </c>
      <c r="M1565" t="s">
        <v>61</v>
      </c>
      <c r="N1565" s="15">
        <v>65.16</v>
      </c>
      <c r="O1565" s="16">
        <v>-6.1</v>
      </c>
      <c r="P1565">
        <v>0</v>
      </c>
    </row>
    <row r="1566" spans="1:16" x14ac:dyDescent="0.3">
      <c r="A1566" t="s">
        <v>60</v>
      </c>
      <c r="B1566" t="s">
        <v>17</v>
      </c>
      <c r="C1566" t="s">
        <v>17</v>
      </c>
      <c r="D1566" t="s">
        <v>12</v>
      </c>
      <c r="E1566" t="s">
        <v>80</v>
      </c>
      <c r="F1566" t="s">
        <v>13</v>
      </c>
      <c r="G1566" s="15">
        <v>175.97</v>
      </c>
      <c r="H1566" t="s">
        <v>26</v>
      </c>
      <c r="I1566">
        <v>2</v>
      </c>
      <c r="J1566" t="s">
        <v>47</v>
      </c>
      <c r="K1566" t="s">
        <v>45</v>
      </c>
      <c r="L1566" t="s">
        <v>45</v>
      </c>
      <c r="M1566" t="s">
        <v>78</v>
      </c>
      <c r="N1566" s="15">
        <v>167.63</v>
      </c>
      <c r="O1566" s="16">
        <v>5</v>
      </c>
      <c r="P1566">
        <v>0</v>
      </c>
    </row>
    <row r="1567" spans="1:16" x14ac:dyDescent="0.3">
      <c r="A1567" t="s">
        <v>65</v>
      </c>
      <c r="B1567" t="s">
        <v>19</v>
      </c>
      <c r="C1567" t="s">
        <v>19</v>
      </c>
      <c r="D1567" t="s">
        <v>11</v>
      </c>
      <c r="E1567" t="s">
        <v>79</v>
      </c>
      <c r="F1567" t="s">
        <v>9</v>
      </c>
      <c r="G1567" s="15">
        <v>31.27</v>
      </c>
      <c r="H1567" t="s">
        <v>26</v>
      </c>
      <c r="I1567">
        <v>2</v>
      </c>
      <c r="J1567" t="s">
        <v>48</v>
      </c>
      <c r="K1567" t="s">
        <v>45</v>
      </c>
      <c r="L1567" t="s">
        <v>45</v>
      </c>
      <c r="M1567" t="s">
        <v>64</v>
      </c>
      <c r="N1567" s="15">
        <v>33.39</v>
      </c>
      <c r="O1567" s="16">
        <v>-6.3</v>
      </c>
      <c r="P1567">
        <v>0</v>
      </c>
    </row>
    <row r="1568" spans="1:16" x14ac:dyDescent="0.3">
      <c r="A1568" t="s">
        <v>65</v>
      </c>
      <c r="B1568" t="s">
        <v>17</v>
      </c>
      <c r="C1568" t="s">
        <v>17</v>
      </c>
      <c r="D1568" t="s">
        <v>14</v>
      </c>
      <c r="E1568" t="s">
        <v>77</v>
      </c>
      <c r="F1568" t="s">
        <v>9</v>
      </c>
      <c r="G1568" s="15">
        <v>69.489999999999995</v>
      </c>
      <c r="H1568" t="s">
        <v>26</v>
      </c>
      <c r="I1568">
        <v>2</v>
      </c>
      <c r="J1568" t="s">
        <v>47</v>
      </c>
      <c r="K1568" t="s">
        <v>46</v>
      </c>
      <c r="L1568" t="s">
        <v>45</v>
      </c>
      <c r="M1568" t="s">
        <v>61</v>
      </c>
      <c r="N1568" s="15">
        <v>70.66</v>
      </c>
      <c r="O1568" s="16">
        <v>-1.7</v>
      </c>
      <c r="P1568">
        <v>0</v>
      </c>
    </row>
    <row r="1569" spans="1:16" x14ac:dyDescent="0.3">
      <c r="A1569" t="s">
        <v>57</v>
      </c>
      <c r="B1569" t="s">
        <v>20</v>
      </c>
      <c r="C1569" t="s">
        <v>20</v>
      </c>
      <c r="D1569" t="s">
        <v>15</v>
      </c>
      <c r="E1569" t="s">
        <v>76</v>
      </c>
      <c r="F1569" t="s">
        <v>9</v>
      </c>
      <c r="G1569" s="15">
        <v>135.44</v>
      </c>
      <c r="H1569" t="s">
        <v>26</v>
      </c>
      <c r="I1569">
        <v>2</v>
      </c>
      <c r="J1569" t="s">
        <v>47</v>
      </c>
      <c r="K1569" t="s">
        <v>45</v>
      </c>
      <c r="L1569" t="s">
        <v>46</v>
      </c>
      <c r="M1569" t="s">
        <v>72</v>
      </c>
      <c r="N1569" s="15">
        <v>118.59</v>
      </c>
      <c r="O1569" s="16">
        <v>14.2</v>
      </c>
      <c r="P1569">
        <v>0</v>
      </c>
    </row>
    <row r="1570" spans="1:16" x14ac:dyDescent="0.3">
      <c r="A1570" t="s">
        <v>57</v>
      </c>
      <c r="B1570" t="s">
        <v>19</v>
      </c>
      <c r="C1570" t="s">
        <v>19</v>
      </c>
      <c r="D1570" t="s">
        <v>14</v>
      </c>
      <c r="E1570" t="s">
        <v>71</v>
      </c>
      <c r="F1570" t="s">
        <v>9</v>
      </c>
      <c r="G1570" s="15">
        <v>64.959999999999994</v>
      </c>
      <c r="H1570" t="s">
        <v>26</v>
      </c>
      <c r="I1570">
        <v>2</v>
      </c>
      <c r="J1570" t="s">
        <v>47</v>
      </c>
      <c r="K1570" t="s">
        <v>46</v>
      </c>
      <c r="L1570" t="s">
        <v>45</v>
      </c>
      <c r="M1570" t="s">
        <v>78</v>
      </c>
      <c r="N1570" s="15">
        <v>65.77</v>
      </c>
      <c r="O1570" s="16">
        <v>-1.2</v>
      </c>
      <c r="P1570">
        <v>0</v>
      </c>
    </row>
    <row r="1571" spans="1:16" x14ac:dyDescent="0.3">
      <c r="A1571" t="s">
        <v>60</v>
      </c>
      <c r="B1571" t="s">
        <v>22</v>
      </c>
      <c r="C1571" t="s">
        <v>22</v>
      </c>
      <c r="D1571" t="s">
        <v>8</v>
      </c>
      <c r="E1571" t="s">
        <v>73</v>
      </c>
      <c r="F1571" t="s">
        <v>9</v>
      </c>
      <c r="G1571" s="15">
        <v>92.28</v>
      </c>
      <c r="H1571" t="s">
        <v>26</v>
      </c>
      <c r="I1571">
        <v>2</v>
      </c>
      <c r="J1571" t="s">
        <v>48</v>
      </c>
      <c r="K1571" t="s">
        <v>45</v>
      </c>
      <c r="L1571" t="s">
        <v>45</v>
      </c>
      <c r="M1571" t="s">
        <v>59</v>
      </c>
      <c r="N1571" s="15">
        <v>82.04</v>
      </c>
      <c r="O1571" s="16">
        <v>12.5</v>
      </c>
      <c r="P1571">
        <v>0</v>
      </c>
    </row>
    <row r="1572" spans="1:16" x14ac:dyDescent="0.3">
      <c r="A1572" t="s">
        <v>57</v>
      </c>
      <c r="B1572" t="s">
        <v>19</v>
      </c>
      <c r="C1572" t="s">
        <v>19</v>
      </c>
      <c r="D1572" t="s">
        <v>15</v>
      </c>
      <c r="E1572" t="s">
        <v>75</v>
      </c>
      <c r="F1572" t="s">
        <v>9</v>
      </c>
      <c r="G1572" s="15">
        <v>140</v>
      </c>
      <c r="H1572" t="s">
        <v>25</v>
      </c>
      <c r="I1572">
        <v>1</v>
      </c>
      <c r="J1572" t="s">
        <v>48</v>
      </c>
      <c r="K1572" t="s">
        <v>45</v>
      </c>
      <c r="L1572" t="s">
        <v>46</v>
      </c>
      <c r="M1572" t="s">
        <v>67</v>
      </c>
      <c r="N1572" s="15">
        <v>120.06</v>
      </c>
      <c r="O1572" s="16">
        <v>16.600000000000001</v>
      </c>
      <c r="P1572">
        <v>1</v>
      </c>
    </row>
    <row r="1573" spans="1:16" x14ac:dyDescent="0.3">
      <c r="A1573" t="s">
        <v>60</v>
      </c>
      <c r="B1573" t="s">
        <v>19</v>
      </c>
      <c r="C1573" t="s">
        <v>19</v>
      </c>
      <c r="D1573" t="s">
        <v>11</v>
      </c>
      <c r="E1573" t="s">
        <v>79</v>
      </c>
      <c r="F1573" t="s">
        <v>9</v>
      </c>
      <c r="G1573" s="15">
        <v>32.25</v>
      </c>
      <c r="H1573" t="s">
        <v>25</v>
      </c>
      <c r="I1573">
        <v>1</v>
      </c>
      <c r="J1573" t="s">
        <v>47</v>
      </c>
      <c r="K1573" t="s">
        <v>46</v>
      </c>
      <c r="L1573" t="s">
        <v>45</v>
      </c>
      <c r="M1573" t="s">
        <v>59</v>
      </c>
      <c r="N1573" s="15">
        <v>29.14</v>
      </c>
      <c r="O1573" s="16">
        <v>10.7</v>
      </c>
      <c r="P1573">
        <v>0</v>
      </c>
    </row>
    <row r="1574" spans="1:16" x14ac:dyDescent="0.3">
      <c r="A1574" t="s">
        <v>65</v>
      </c>
      <c r="B1574" t="s">
        <v>18</v>
      </c>
      <c r="C1574" t="s">
        <v>18</v>
      </c>
      <c r="D1574" t="s">
        <v>15</v>
      </c>
      <c r="E1574" t="s">
        <v>76</v>
      </c>
      <c r="F1574" t="s">
        <v>9</v>
      </c>
      <c r="G1574" s="15">
        <v>111.55</v>
      </c>
      <c r="H1574" t="s">
        <v>26</v>
      </c>
      <c r="I1574">
        <v>2</v>
      </c>
      <c r="J1574" t="s">
        <v>48</v>
      </c>
      <c r="K1574" t="s">
        <v>45</v>
      </c>
      <c r="L1574" t="s">
        <v>45</v>
      </c>
      <c r="M1574" t="s">
        <v>59</v>
      </c>
      <c r="N1574" s="15">
        <v>126.51</v>
      </c>
      <c r="O1574" s="16">
        <v>-11.8</v>
      </c>
      <c r="P1574">
        <v>0</v>
      </c>
    </row>
    <row r="1575" spans="1:16" x14ac:dyDescent="0.3">
      <c r="A1575" t="s">
        <v>65</v>
      </c>
      <c r="B1575" t="s">
        <v>21</v>
      </c>
      <c r="C1575" t="s">
        <v>62</v>
      </c>
      <c r="D1575" t="s">
        <v>14</v>
      </c>
      <c r="E1575" t="s">
        <v>77</v>
      </c>
      <c r="F1575" t="s">
        <v>9</v>
      </c>
      <c r="G1575" s="15">
        <v>76.41</v>
      </c>
      <c r="H1575" t="s">
        <v>26</v>
      </c>
      <c r="I1575">
        <v>2</v>
      </c>
      <c r="J1575" t="s">
        <v>44</v>
      </c>
      <c r="K1575" t="s">
        <v>46</v>
      </c>
      <c r="L1575" t="s">
        <v>46</v>
      </c>
      <c r="M1575" t="s">
        <v>67</v>
      </c>
      <c r="N1575" s="15">
        <v>70.66</v>
      </c>
      <c r="O1575" s="16">
        <v>8.1</v>
      </c>
      <c r="P1575">
        <v>0</v>
      </c>
    </row>
    <row r="1576" spans="1:16" x14ac:dyDescent="0.3">
      <c r="A1576" t="s">
        <v>57</v>
      </c>
      <c r="B1576" t="s">
        <v>21</v>
      </c>
      <c r="C1576" t="s">
        <v>62</v>
      </c>
      <c r="D1576" t="s">
        <v>10</v>
      </c>
      <c r="E1576" t="s">
        <v>69</v>
      </c>
      <c r="F1576" t="s">
        <v>9</v>
      </c>
      <c r="G1576" s="15">
        <v>160.77000000000001</v>
      </c>
      <c r="H1576" t="s">
        <v>26</v>
      </c>
      <c r="I1576">
        <v>2</v>
      </c>
      <c r="J1576" t="s">
        <v>47</v>
      </c>
      <c r="K1576" t="s">
        <v>46</v>
      </c>
      <c r="L1576" t="s">
        <v>45</v>
      </c>
      <c r="M1576" t="s">
        <v>67</v>
      </c>
      <c r="N1576" s="15">
        <v>150.38999999999999</v>
      </c>
      <c r="O1576" s="16">
        <v>6.9</v>
      </c>
      <c r="P1576">
        <v>0</v>
      </c>
    </row>
    <row r="1577" spans="1:16" x14ac:dyDescent="0.3">
      <c r="A1577" t="s">
        <v>60</v>
      </c>
      <c r="B1577" t="s">
        <v>21</v>
      </c>
      <c r="C1577" t="s">
        <v>62</v>
      </c>
      <c r="D1577" t="s">
        <v>11</v>
      </c>
      <c r="E1577" t="s">
        <v>70</v>
      </c>
      <c r="F1577" t="s">
        <v>9</v>
      </c>
      <c r="G1577" s="15">
        <v>32.22</v>
      </c>
      <c r="H1577" t="s">
        <v>26</v>
      </c>
      <c r="I1577">
        <v>2</v>
      </c>
      <c r="J1577" t="s">
        <v>48</v>
      </c>
      <c r="K1577" t="s">
        <v>45</v>
      </c>
      <c r="L1577" t="s">
        <v>45</v>
      </c>
      <c r="M1577" t="s">
        <v>64</v>
      </c>
      <c r="N1577" s="15">
        <v>31.4</v>
      </c>
      <c r="O1577" s="16">
        <v>2.6</v>
      </c>
      <c r="P1577">
        <v>0</v>
      </c>
    </row>
    <row r="1578" spans="1:16" x14ac:dyDescent="0.3">
      <c r="A1578" t="s">
        <v>65</v>
      </c>
      <c r="B1578" t="s">
        <v>22</v>
      </c>
      <c r="C1578" t="s">
        <v>22</v>
      </c>
      <c r="D1578" t="s">
        <v>11</v>
      </c>
      <c r="E1578" t="s">
        <v>79</v>
      </c>
      <c r="F1578" t="s">
        <v>9</v>
      </c>
      <c r="G1578" s="15">
        <v>36.82</v>
      </c>
      <c r="H1578" t="s">
        <v>25</v>
      </c>
      <c r="I1578">
        <v>1</v>
      </c>
      <c r="J1578" t="s">
        <v>44</v>
      </c>
      <c r="K1578" t="s">
        <v>45</v>
      </c>
      <c r="L1578" t="s">
        <v>46</v>
      </c>
      <c r="M1578" t="s">
        <v>72</v>
      </c>
      <c r="N1578" s="15">
        <v>33.39</v>
      </c>
      <c r="O1578" s="16">
        <v>10.3</v>
      </c>
      <c r="P1578">
        <v>0</v>
      </c>
    </row>
    <row r="1579" spans="1:16" x14ac:dyDescent="0.3">
      <c r="A1579" t="s">
        <v>65</v>
      </c>
      <c r="B1579" t="s">
        <v>19</v>
      </c>
      <c r="C1579" t="s">
        <v>19</v>
      </c>
      <c r="D1579" t="s">
        <v>10</v>
      </c>
      <c r="E1579" t="s">
        <v>58</v>
      </c>
      <c r="F1579" t="s">
        <v>9</v>
      </c>
      <c r="G1579" s="15">
        <v>147.91999999999999</v>
      </c>
      <c r="H1579" t="s">
        <v>27</v>
      </c>
      <c r="I1579">
        <v>3</v>
      </c>
      <c r="J1579" t="s">
        <v>48</v>
      </c>
      <c r="K1579" t="s">
        <v>46</v>
      </c>
      <c r="L1579" t="s">
        <v>46</v>
      </c>
      <c r="M1579" t="s">
        <v>61</v>
      </c>
      <c r="N1579" s="15">
        <v>166.29</v>
      </c>
      <c r="O1579" s="16">
        <v>-11</v>
      </c>
      <c r="P1579">
        <v>0</v>
      </c>
    </row>
    <row r="1580" spans="1:16" x14ac:dyDescent="0.3">
      <c r="A1580" t="s">
        <v>60</v>
      </c>
      <c r="B1580" t="s">
        <v>19</v>
      </c>
      <c r="C1580" t="s">
        <v>19</v>
      </c>
      <c r="D1580" t="s">
        <v>10</v>
      </c>
      <c r="E1580" t="s">
        <v>58</v>
      </c>
      <c r="F1580" t="s">
        <v>9</v>
      </c>
      <c r="G1580" s="15">
        <v>162.65</v>
      </c>
      <c r="H1580" t="s">
        <v>26</v>
      </c>
      <c r="I1580">
        <v>2</v>
      </c>
      <c r="J1580" t="s">
        <v>48</v>
      </c>
      <c r="K1580" t="s">
        <v>45</v>
      </c>
      <c r="L1580" t="s">
        <v>45</v>
      </c>
      <c r="M1580" t="s">
        <v>59</v>
      </c>
      <c r="N1580" s="15">
        <v>152.03</v>
      </c>
      <c r="O1580" s="16">
        <v>7</v>
      </c>
      <c r="P1580">
        <v>0</v>
      </c>
    </row>
    <row r="1581" spans="1:16" x14ac:dyDescent="0.3">
      <c r="A1581" t="s">
        <v>65</v>
      </c>
      <c r="B1581" t="s">
        <v>21</v>
      </c>
      <c r="C1581" t="s">
        <v>62</v>
      </c>
      <c r="D1581" t="s">
        <v>11</v>
      </c>
      <c r="E1581" t="s">
        <v>70</v>
      </c>
      <c r="F1581" t="s">
        <v>9</v>
      </c>
      <c r="G1581" s="15">
        <v>30.54</v>
      </c>
      <c r="H1581" t="s">
        <v>27</v>
      </c>
      <c r="I1581">
        <v>3</v>
      </c>
      <c r="J1581" t="s">
        <v>47</v>
      </c>
      <c r="K1581" t="s">
        <v>46</v>
      </c>
      <c r="L1581" t="s">
        <v>45</v>
      </c>
      <c r="M1581" t="s">
        <v>72</v>
      </c>
      <c r="N1581" s="15">
        <v>32.630000000000003</v>
      </c>
      <c r="O1581" s="16">
        <v>-6.4</v>
      </c>
      <c r="P1581">
        <v>0</v>
      </c>
    </row>
    <row r="1582" spans="1:16" x14ac:dyDescent="0.3">
      <c r="A1582" t="s">
        <v>57</v>
      </c>
      <c r="B1582" t="s">
        <v>19</v>
      </c>
      <c r="C1582" t="s">
        <v>19</v>
      </c>
      <c r="D1582" t="s">
        <v>14</v>
      </c>
      <c r="E1582" t="s">
        <v>71</v>
      </c>
      <c r="F1582" t="s">
        <v>9</v>
      </c>
      <c r="G1582" s="15">
        <v>56.33</v>
      </c>
      <c r="H1582" t="s">
        <v>27</v>
      </c>
      <c r="I1582">
        <v>3</v>
      </c>
      <c r="J1582" t="s">
        <v>47</v>
      </c>
      <c r="K1582" t="s">
        <v>46</v>
      </c>
      <c r="L1582" t="s">
        <v>45</v>
      </c>
      <c r="M1582" t="s">
        <v>61</v>
      </c>
      <c r="N1582" s="15">
        <v>65.77</v>
      </c>
      <c r="O1582" s="16">
        <v>-14.4</v>
      </c>
      <c r="P1582">
        <v>0</v>
      </c>
    </row>
    <row r="1583" spans="1:16" x14ac:dyDescent="0.3">
      <c r="A1583" t="s">
        <v>57</v>
      </c>
      <c r="B1583" t="s">
        <v>19</v>
      </c>
      <c r="C1583" t="s">
        <v>19</v>
      </c>
      <c r="D1583" t="s">
        <v>14</v>
      </c>
      <c r="E1583" t="s">
        <v>71</v>
      </c>
      <c r="F1583" t="s">
        <v>9</v>
      </c>
      <c r="G1583" s="15">
        <v>80</v>
      </c>
      <c r="H1583" t="s">
        <v>25</v>
      </c>
      <c r="I1583">
        <v>1</v>
      </c>
      <c r="J1583" t="s">
        <v>48</v>
      </c>
      <c r="K1583" t="s">
        <v>45</v>
      </c>
      <c r="L1583" t="s">
        <v>45</v>
      </c>
      <c r="M1583" t="s">
        <v>59</v>
      </c>
      <c r="N1583" s="15">
        <v>65.77</v>
      </c>
      <c r="O1583" s="16">
        <v>21.6</v>
      </c>
      <c r="P1583">
        <v>1</v>
      </c>
    </row>
    <row r="1584" spans="1:16" x14ac:dyDescent="0.3">
      <c r="A1584" t="s">
        <v>57</v>
      </c>
      <c r="B1584" t="s">
        <v>22</v>
      </c>
      <c r="C1584" t="s">
        <v>22</v>
      </c>
      <c r="D1584" t="s">
        <v>10</v>
      </c>
      <c r="E1584" t="s">
        <v>58</v>
      </c>
      <c r="F1584" t="s">
        <v>9</v>
      </c>
      <c r="G1584" s="15">
        <v>195.74</v>
      </c>
      <c r="H1584" t="s">
        <v>25</v>
      </c>
      <c r="I1584">
        <v>1</v>
      </c>
      <c r="J1584" t="s">
        <v>47</v>
      </c>
      <c r="K1584" t="s">
        <v>45</v>
      </c>
      <c r="L1584" t="s">
        <v>45</v>
      </c>
      <c r="M1584" t="s">
        <v>59</v>
      </c>
      <c r="N1584" s="15">
        <v>151.19</v>
      </c>
      <c r="O1584" s="16">
        <v>29.5</v>
      </c>
      <c r="P1584">
        <v>1</v>
      </c>
    </row>
    <row r="1585" spans="1:16" x14ac:dyDescent="0.3">
      <c r="A1585" t="s">
        <v>60</v>
      </c>
      <c r="B1585" t="s">
        <v>22</v>
      </c>
      <c r="C1585" t="s">
        <v>22</v>
      </c>
      <c r="D1585" t="s">
        <v>12</v>
      </c>
      <c r="E1585" t="s">
        <v>66</v>
      </c>
      <c r="F1585" t="s">
        <v>13</v>
      </c>
      <c r="G1585" s="15">
        <v>157.37</v>
      </c>
      <c r="H1585" t="s">
        <v>26</v>
      </c>
      <c r="I1585">
        <v>2</v>
      </c>
      <c r="J1585" t="s">
        <v>48</v>
      </c>
      <c r="K1585" t="s">
        <v>45</v>
      </c>
      <c r="L1585" t="s">
        <v>45</v>
      </c>
      <c r="M1585" t="s">
        <v>78</v>
      </c>
      <c r="N1585" s="15">
        <v>168.34</v>
      </c>
      <c r="O1585" s="16">
        <v>-6.5</v>
      </c>
      <c r="P1585">
        <v>0</v>
      </c>
    </row>
    <row r="1586" spans="1:16" x14ac:dyDescent="0.3">
      <c r="A1586" t="s">
        <v>57</v>
      </c>
      <c r="B1586" t="s">
        <v>22</v>
      </c>
      <c r="C1586" t="s">
        <v>22</v>
      </c>
      <c r="D1586" t="s">
        <v>15</v>
      </c>
      <c r="E1586" t="s">
        <v>75</v>
      </c>
      <c r="F1586" t="s">
        <v>9</v>
      </c>
      <c r="G1586" s="15">
        <v>124.98</v>
      </c>
      <c r="H1586" t="s">
        <v>26</v>
      </c>
      <c r="I1586">
        <v>2</v>
      </c>
      <c r="J1586" t="s">
        <v>47</v>
      </c>
      <c r="K1586" t="s">
        <v>45</v>
      </c>
      <c r="L1586" t="s">
        <v>45</v>
      </c>
      <c r="M1586" t="s">
        <v>61</v>
      </c>
      <c r="N1586" s="15">
        <v>120.06</v>
      </c>
      <c r="O1586" s="16">
        <v>4.0999999999999996</v>
      </c>
      <c r="P1586">
        <v>0</v>
      </c>
    </row>
    <row r="1587" spans="1:16" x14ac:dyDescent="0.3">
      <c r="A1587" t="s">
        <v>65</v>
      </c>
      <c r="B1587" t="s">
        <v>17</v>
      </c>
      <c r="C1587" t="s">
        <v>17</v>
      </c>
      <c r="D1587" t="s">
        <v>12</v>
      </c>
      <c r="E1587" t="s">
        <v>80</v>
      </c>
      <c r="F1587" t="s">
        <v>13</v>
      </c>
      <c r="G1587" s="15">
        <v>184.44</v>
      </c>
      <c r="H1587" t="s">
        <v>25</v>
      </c>
      <c r="I1587">
        <v>1</v>
      </c>
      <c r="J1587" t="s">
        <v>47</v>
      </c>
      <c r="K1587" t="s">
        <v>45</v>
      </c>
      <c r="L1587" t="s">
        <v>45</v>
      </c>
      <c r="M1587" t="s">
        <v>61</v>
      </c>
      <c r="N1587" s="15">
        <v>176.57</v>
      </c>
      <c r="O1587" s="16">
        <v>4.5</v>
      </c>
      <c r="P1587">
        <v>0</v>
      </c>
    </row>
    <row r="1588" spans="1:16" x14ac:dyDescent="0.3">
      <c r="A1588" t="s">
        <v>65</v>
      </c>
      <c r="B1588" t="s">
        <v>22</v>
      </c>
      <c r="C1588" t="s">
        <v>22</v>
      </c>
      <c r="D1588" t="s">
        <v>12</v>
      </c>
      <c r="E1588" t="s">
        <v>66</v>
      </c>
      <c r="F1588" t="s">
        <v>13</v>
      </c>
      <c r="G1588" s="15">
        <v>164.89</v>
      </c>
      <c r="H1588" t="s">
        <v>26</v>
      </c>
      <c r="I1588">
        <v>2</v>
      </c>
      <c r="J1588" t="s">
        <v>48</v>
      </c>
      <c r="K1588" t="s">
        <v>45</v>
      </c>
      <c r="L1588" t="s">
        <v>45</v>
      </c>
      <c r="M1588" t="s">
        <v>78</v>
      </c>
      <c r="N1588" s="15">
        <v>178.49</v>
      </c>
      <c r="O1588" s="16">
        <v>-7.6</v>
      </c>
      <c r="P1588">
        <v>0</v>
      </c>
    </row>
    <row r="1589" spans="1:16" x14ac:dyDescent="0.3">
      <c r="A1589" t="s">
        <v>65</v>
      </c>
      <c r="B1589" t="s">
        <v>22</v>
      </c>
      <c r="C1589" t="s">
        <v>22</v>
      </c>
      <c r="D1589" t="s">
        <v>14</v>
      </c>
      <c r="E1589" t="s">
        <v>63</v>
      </c>
      <c r="F1589" t="s">
        <v>9</v>
      </c>
      <c r="G1589" s="15">
        <v>61.34</v>
      </c>
      <c r="H1589" t="s">
        <v>26</v>
      </c>
      <c r="I1589">
        <v>2</v>
      </c>
      <c r="J1589" t="s">
        <v>47</v>
      </c>
      <c r="K1589" t="s">
        <v>46</v>
      </c>
      <c r="L1589" t="s">
        <v>45</v>
      </c>
      <c r="M1589" t="s">
        <v>67</v>
      </c>
      <c r="N1589" s="15">
        <v>68.150000000000006</v>
      </c>
      <c r="O1589" s="16">
        <v>-10</v>
      </c>
      <c r="P1589">
        <v>0</v>
      </c>
    </row>
    <row r="1590" spans="1:16" x14ac:dyDescent="0.3">
      <c r="A1590" t="s">
        <v>57</v>
      </c>
      <c r="B1590" t="s">
        <v>19</v>
      </c>
      <c r="C1590" t="s">
        <v>19</v>
      </c>
      <c r="D1590" t="s">
        <v>12</v>
      </c>
      <c r="E1590" t="s">
        <v>66</v>
      </c>
      <c r="F1590" t="s">
        <v>13</v>
      </c>
      <c r="G1590" s="15">
        <v>178.08</v>
      </c>
      <c r="H1590" t="s">
        <v>27</v>
      </c>
      <c r="I1590">
        <v>3</v>
      </c>
      <c r="J1590" t="s">
        <v>48</v>
      </c>
      <c r="K1590" t="s">
        <v>45</v>
      </c>
      <c r="L1590" t="s">
        <v>45</v>
      </c>
      <c r="M1590" t="s">
        <v>72</v>
      </c>
      <c r="N1590" s="15">
        <v>170.56</v>
      </c>
      <c r="O1590" s="16">
        <v>4.4000000000000004</v>
      </c>
      <c r="P1590">
        <v>0</v>
      </c>
    </row>
    <row r="1591" spans="1:16" x14ac:dyDescent="0.3">
      <c r="A1591" t="s">
        <v>60</v>
      </c>
      <c r="B1591" t="s">
        <v>19</v>
      </c>
      <c r="C1591" t="s">
        <v>19</v>
      </c>
      <c r="D1591" t="s">
        <v>14</v>
      </c>
      <c r="E1591" t="s">
        <v>63</v>
      </c>
      <c r="F1591" t="s">
        <v>9</v>
      </c>
      <c r="G1591" s="15">
        <v>59.25</v>
      </c>
      <c r="H1591" t="s">
        <v>27</v>
      </c>
      <c r="I1591">
        <v>3</v>
      </c>
      <c r="J1591" t="s">
        <v>47</v>
      </c>
      <c r="K1591" t="s">
        <v>46</v>
      </c>
      <c r="L1591" t="s">
        <v>45</v>
      </c>
      <c r="M1591" t="s">
        <v>64</v>
      </c>
      <c r="N1591" s="15">
        <v>66.680000000000007</v>
      </c>
      <c r="O1591" s="16">
        <v>-11.1</v>
      </c>
      <c r="P1591">
        <v>0</v>
      </c>
    </row>
    <row r="1592" spans="1:16" x14ac:dyDescent="0.3">
      <c r="A1592" t="s">
        <v>57</v>
      </c>
      <c r="B1592" t="s">
        <v>21</v>
      </c>
      <c r="C1592" t="s">
        <v>62</v>
      </c>
      <c r="D1592" t="s">
        <v>11</v>
      </c>
      <c r="E1592" t="s">
        <v>70</v>
      </c>
      <c r="F1592" t="s">
        <v>9</v>
      </c>
      <c r="G1592" s="15">
        <v>35.32</v>
      </c>
      <c r="H1592" t="s">
        <v>25</v>
      </c>
      <c r="I1592">
        <v>1</v>
      </c>
      <c r="J1592" t="s">
        <v>48</v>
      </c>
      <c r="K1592" t="s">
        <v>46</v>
      </c>
      <c r="L1592" t="s">
        <v>45</v>
      </c>
      <c r="M1592" t="s">
        <v>64</v>
      </c>
      <c r="N1592" s="15">
        <v>30.5</v>
      </c>
      <c r="O1592" s="16">
        <v>15.8</v>
      </c>
      <c r="P1592">
        <v>1</v>
      </c>
    </row>
    <row r="1593" spans="1:16" x14ac:dyDescent="0.3">
      <c r="A1593" t="s">
        <v>65</v>
      </c>
      <c r="B1593" t="s">
        <v>21</v>
      </c>
      <c r="C1593" t="s">
        <v>62</v>
      </c>
      <c r="D1593" t="s">
        <v>11</v>
      </c>
      <c r="E1593" t="s">
        <v>79</v>
      </c>
      <c r="F1593" t="s">
        <v>9</v>
      </c>
      <c r="G1593" s="15">
        <v>37.380000000000003</v>
      </c>
      <c r="H1593" t="s">
        <v>25</v>
      </c>
      <c r="I1593">
        <v>1</v>
      </c>
      <c r="J1593" t="s">
        <v>47</v>
      </c>
      <c r="K1593" t="s">
        <v>45</v>
      </c>
      <c r="L1593" t="s">
        <v>46</v>
      </c>
      <c r="M1593" t="s">
        <v>64</v>
      </c>
      <c r="N1593" s="15">
        <v>33.39</v>
      </c>
      <c r="O1593" s="16">
        <v>11.9</v>
      </c>
      <c r="P1593">
        <v>0</v>
      </c>
    </row>
    <row r="1594" spans="1:16" x14ac:dyDescent="0.3">
      <c r="A1594" t="s">
        <v>60</v>
      </c>
      <c r="B1594" t="s">
        <v>20</v>
      </c>
      <c r="C1594" t="s">
        <v>20</v>
      </c>
      <c r="D1594" t="s">
        <v>12</v>
      </c>
      <c r="E1594" t="s">
        <v>80</v>
      </c>
      <c r="F1594" t="s">
        <v>13</v>
      </c>
      <c r="G1594" s="15">
        <v>174.29</v>
      </c>
      <c r="H1594" t="s">
        <v>26</v>
      </c>
      <c r="I1594">
        <v>2</v>
      </c>
      <c r="J1594" t="s">
        <v>48</v>
      </c>
      <c r="K1594" t="s">
        <v>45</v>
      </c>
      <c r="L1594" t="s">
        <v>45</v>
      </c>
      <c r="M1594" t="s">
        <v>72</v>
      </c>
      <c r="N1594" s="15">
        <v>167.63</v>
      </c>
      <c r="O1594" s="16">
        <v>4</v>
      </c>
      <c r="P1594">
        <v>0</v>
      </c>
    </row>
    <row r="1595" spans="1:16" x14ac:dyDescent="0.3">
      <c r="A1595" t="s">
        <v>60</v>
      </c>
      <c r="B1595" t="s">
        <v>17</v>
      </c>
      <c r="C1595" t="s">
        <v>17</v>
      </c>
      <c r="D1595" t="s">
        <v>14</v>
      </c>
      <c r="E1595" t="s">
        <v>77</v>
      </c>
      <c r="F1595" t="s">
        <v>9</v>
      </c>
      <c r="G1595" s="15">
        <v>67.23</v>
      </c>
      <c r="H1595" t="s">
        <v>26</v>
      </c>
      <c r="I1595">
        <v>2</v>
      </c>
      <c r="J1595" t="s">
        <v>47</v>
      </c>
      <c r="K1595" t="s">
        <v>45</v>
      </c>
      <c r="L1595" t="s">
        <v>45</v>
      </c>
      <c r="M1595" t="s">
        <v>72</v>
      </c>
      <c r="N1595" s="15">
        <v>67.13</v>
      </c>
      <c r="O1595" s="16">
        <v>0.1</v>
      </c>
      <c r="P1595">
        <v>0</v>
      </c>
    </row>
    <row r="1596" spans="1:16" x14ac:dyDescent="0.3">
      <c r="A1596" t="s">
        <v>65</v>
      </c>
      <c r="B1596" t="s">
        <v>18</v>
      </c>
      <c r="C1596" t="s">
        <v>18</v>
      </c>
      <c r="D1596" t="s">
        <v>15</v>
      </c>
      <c r="E1596" t="s">
        <v>75</v>
      </c>
      <c r="F1596" t="s">
        <v>9</v>
      </c>
      <c r="G1596" s="15">
        <v>140</v>
      </c>
      <c r="H1596" t="s">
        <v>25</v>
      </c>
      <c r="I1596">
        <v>1</v>
      </c>
      <c r="J1596" t="s">
        <v>47</v>
      </c>
      <c r="K1596" t="s">
        <v>45</v>
      </c>
      <c r="L1596" t="s">
        <v>46</v>
      </c>
      <c r="M1596" t="s">
        <v>72</v>
      </c>
      <c r="N1596" s="15">
        <v>126.9</v>
      </c>
      <c r="O1596" s="16">
        <v>10.3</v>
      </c>
      <c r="P1596">
        <v>0</v>
      </c>
    </row>
    <row r="1597" spans="1:16" x14ac:dyDescent="0.3">
      <c r="A1597" t="s">
        <v>60</v>
      </c>
      <c r="B1597" t="s">
        <v>20</v>
      </c>
      <c r="C1597" t="s">
        <v>20</v>
      </c>
      <c r="D1597" t="s">
        <v>11</v>
      </c>
      <c r="E1597" t="s">
        <v>70</v>
      </c>
      <c r="F1597" t="s">
        <v>9</v>
      </c>
      <c r="G1597" s="15">
        <v>36.35</v>
      </c>
      <c r="H1597" t="s">
        <v>25</v>
      </c>
      <c r="I1597">
        <v>1</v>
      </c>
      <c r="J1597" t="s">
        <v>47</v>
      </c>
      <c r="K1597" t="s">
        <v>45</v>
      </c>
      <c r="L1597" t="s">
        <v>45</v>
      </c>
      <c r="M1597" t="s">
        <v>67</v>
      </c>
      <c r="N1597" s="15">
        <v>31.4</v>
      </c>
      <c r="O1597" s="16">
        <v>15.8</v>
      </c>
      <c r="P1597">
        <v>1</v>
      </c>
    </row>
    <row r="1598" spans="1:16" x14ac:dyDescent="0.3">
      <c r="A1598" t="s">
        <v>60</v>
      </c>
      <c r="B1598" t="s">
        <v>20</v>
      </c>
      <c r="C1598" t="s">
        <v>20</v>
      </c>
      <c r="D1598" t="s">
        <v>10</v>
      </c>
      <c r="E1598" t="s">
        <v>69</v>
      </c>
      <c r="F1598" t="s">
        <v>9</v>
      </c>
      <c r="G1598" s="15">
        <v>147.01</v>
      </c>
      <c r="H1598" t="s">
        <v>26</v>
      </c>
      <c r="I1598">
        <v>2</v>
      </c>
      <c r="J1598" t="s">
        <v>47</v>
      </c>
      <c r="K1598" t="s">
        <v>46</v>
      </c>
      <c r="L1598" t="s">
        <v>45</v>
      </c>
      <c r="M1598" t="s">
        <v>61</v>
      </c>
      <c r="N1598" s="15">
        <v>158.6</v>
      </c>
      <c r="O1598" s="16">
        <v>-7.3</v>
      </c>
      <c r="P1598">
        <v>0</v>
      </c>
    </row>
    <row r="1599" spans="1:16" x14ac:dyDescent="0.3">
      <c r="A1599" t="s">
        <v>57</v>
      </c>
      <c r="B1599" t="s">
        <v>21</v>
      </c>
      <c r="C1599" t="s">
        <v>62</v>
      </c>
      <c r="D1599" t="s">
        <v>15</v>
      </c>
      <c r="E1599" t="s">
        <v>76</v>
      </c>
      <c r="F1599" t="s">
        <v>9</v>
      </c>
      <c r="G1599" s="15">
        <v>100.14</v>
      </c>
      <c r="H1599" t="s">
        <v>26</v>
      </c>
      <c r="I1599">
        <v>2</v>
      </c>
      <c r="J1599" t="s">
        <v>48</v>
      </c>
      <c r="K1599" t="s">
        <v>46</v>
      </c>
      <c r="L1599" t="s">
        <v>45</v>
      </c>
      <c r="M1599" t="s">
        <v>67</v>
      </c>
      <c r="N1599" s="15">
        <v>118.59</v>
      </c>
      <c r="O1599" s="16">
        <v>-15.6</v>
      </c>
      <c r="P1599">
        <v>0</v>
      </c>
    </row>
    <row r="1600" spans="1:16" x14ac:dyDescent="0.3">
      <c r="A1600" t="s">
        <v>65</v>
      </c>
      <c r="B1600" t="s">
        <v>18</v>
      </c>
      <c r="C1600" t="s">
        <v>18</v>
      </c>
      <c r="D1600" t="s">
        <v>10</v>
      </c>
      <c r="E1600" t="s">
        <v>58</v>
      </c>
      <c r="F1600" t="s">
        <v>9</v>
      </c>
      <c r="G1600" s="15">
        <v>183.38</v>
      </c>
      <c r="H1600" t="s">
        <v>26</v>
      </c>
      <c r="I1600">
        <v>2</v>
      </c>
      <c r="J1600" t="s">
        <v>47</v>
      </c>
      <c r="K1600" t="s">
        <v>45</v>
      </c>
      <c r="L1600" t="s">
        <v>45</v>
      </c>
      <c r="M1600" t="s">
        <v>78</v>
      </c>
      <c r="N1600" s="15">
        <v>166.29</v>
      </c>
      <c r="O1600" s="16">
        <v>10.3</v>
      </c>
      <c r="P1600">
        <v>0</v>
      </c>
    </row>
    <row r="1601" spans="1:16" x14ac:dyDescent="0.3">
      <c r="A1601" t="s">
        <v>57</v>
      </c>
      <c r="B1601" t="s">
        <v>17</v>
      </c>
      <c r="C1601" t="s">
        <v>17</v>
      </c>
      <c r="D1601" t="s">
        <v>15</v>
      </c>
      <c r="E1601" t="s">
        <v>75</v>
      </c>
      <c r="F1601" t="s">
        <v>9</v>
      </c>
      <c r="G1601" s="15">
        <v>118.46</v>
      </c>
      <c r="H1601" t="s">
        <v>26</v>
      </c>
      <c r="I1601">
        <v>2</v>
      </c>
      <c r="J1601" t="s">
        <v>48</v>
      </c>
      <c r="K1601" t="s">
        <v>46</v>
      </c>
      <c r="L1601" t="s">
        <v>46</v>
      </c>
      <c r="M1601" t="s">
        <v>67</v>
      </c>
      <c r="N1601" s="15">
        <v>120.06</v>
      </c>
      <c r="O1601" s="16">
        <v>-1.3</v>
      </c>
      <c r="P1601">
        <v>0</v>
      </c>
    </row>
    <row r="1602" spans="1:16" x14ac:dyDescent="0.3">
      <c r="A1602" t="s">
        <v>65</v>
      </c>
      <c r="B1602" t="s">
        <v>20</v>
      </c>
      <c r="C1602" t="s">
        <v>20</v>
      </c>
      <c r="D1602" t="s">
        <v>12</v>
      </c>
      <c r="E1602" t="s">
        <v>66</v>
      </c>
      <c r="F1602" t="s">
        <v>13</v>
      </c>
      <c r="G1602" s="15">
        <v>160.18</v>
      </c>
      <c r="H1602" t="s">
        <v>27</v>
      </c>
      <c r="I1602">
        <v>3</v>
      </c>
      <c r="J1602" t="s">
        <v>48</v>
      </c>
      <c r="K1602" t="s">
        <v>46</v>
      </c>
      <c r="L1602" t="s">
        <v>46</v>
      </c>
      <c r="M1602" t="s">
        <v>72</v>
      </c>
      <c r="N1602" s="15">
        <v>178.49</v>
      </c>
      <c r="O1602" s="16">
        <v>-10.3</v>
      </c>
      <c r="P1602">
        <v>0</v>
      </c>
    </row>
    <row r="1603" spans="1:16" x14ac:dyDescent="0.3">
      <c r="A1603" t="s">
        <v>65</v>
      </c>
      <c r="B1603" t="s">
        <v>20</v>
      </c>
      <c r="C1603" t="s">
        <v>20</v>
      </c>
      <c r="D1603" t="s">
        <v>14</v>
      </c>
      <c r="E1603" t="s">
        <v>71</v>
      </c>
      <c r="F1603" t="s">
        <v>9</v>
      </c>
      <c r="G1603" s="15">
        <v>80</v>
      </c>
      <c r="H1603" t="s">
        <v>25</v>
      </c>
      <c r="I1603">
        <v>1</v>
      </c>
      <c r="J1603" t="s">
        <v>47</v>
      </c>
      <c r="K1603" t="s">
        <v>45</v>
      </c>
      <c r="L1603" t="s">
        <v>45</v>
      </c>
      <c r="M1603" t="s">
        <v>78</v>
      </c>
      <c r="N1603" s="15">
        <v>71.77</v>
      </c>
      <c r="O1603" s="16">
        <v>11.5</v>
      </c>
      <c r="P1603">
        <v>0</v>
      </c>
    </row>
    <row r="1604" spans="1:16" x14ac:dyDescent="0.3">
      <c r="A1604" t="s">
        <v>57</v>
      </c>
      <c r="B1604" t="s">
        <v>19</v>
      </c>
      <c r="C1604" t="s">
        <v>19</v>
      </c>
      <c r="D1604" t="s">
        <v>11</v>
      </c>
      <c r="E1604" t="s">
        <v>79</v>
      </c>
      <c r="F1604" t="s">
        <v>9</v>
      </c>
      <c r="G1604" s="15">
        <v>28.46</v>
      </c>
      <c r="H1604" t="s">
        <v>26</v>
      </c>
      <c r="I1604">
        <v>2</v>
      </c>
      <c r="J1604" t="s">
        <v>47</v>
      </c>
      <c r="K1604" t="s">
        <v>46</v>
      </c>
      <c r="L1604" t="s">
        <v>45</v>
      </c>
      <c r="M1604" t="s">
        <v>68</v>
      </c>
      <c r="N1604" s="15">
        <v>30.93</v>
      </c>
      <c r="O1604" s="16">
        <v>-8</v>
      </c>
      <c r="P1604">
        <v>0</v>
      </c>
    </row>
    <row r="1605" spans="1:16" x14ac:dyDescent="0.3">
      <c r="A1605" t="s">
        <v>60</v>
      </c>
      <c r="B1605" t="s">
        <v>22</v>
      </c>
      <c r="C1605" t="s">
        <v>22</v>
      </c>
      <c r="D1605" t="s">
        <v>11</v>
      </c>
      <c r="E1605" t="s">
        <v>79</v>
      </c>
      <c r="F1605" t="s">
        <v>9</v>
      </c>
      <c r="G1605" s="15">
        <v>29.22</v>
      </c>
      <c r="H1605" t="s">
        <v>27</v>
      </c>
      <c r="I1605">
        <v>3</v>
      </c>
      <c r="J1605" t="s">
        <v>47</v>
      </c>
      <c r="K1605" t="s">
        <v>46</v>
      </c>
      <c r="L1605" t="s">
        <v>45</v>
      </c>
      <c r="M1605" t="s">
        <v>61</v>
      </c>
      <c r="N1605" s="15">
        <v>29.14</v>
      </c>
      <c r="O1605" s="16">
        <v>0.3</v>
      </c>
      <c r="P1605">
        <v>0</v>
      </c>
    </row>
    <row r="1606" spans="1:16" x14ac:dyDescent="0.3">
      <c r="A1606" t="s">
        <v>57</v>
      </c>
      <c r="B1606" t="s">
        <v>21</v>
      </c>
      <c r="C1606" t="s">
        <v>62</v>
      </c>
      <c r="D1606" t="s">
        <v>8</v>
      </c>
      <c r="E1606" t="s">
        <v>73</v>
      </c>
      <c r="F1606" t="s">
        <v>9</v>
      </c>
      <c r="G1606" s="15">
        <v>46.18</v>
      </c>
      <c r="H1606" t="s">
        <v>25</v>
      </c>
      <c r="I1606">
        <v>1</v>
      </c>
      <c r="J1606" t="s">
        <v>48</v>
      </c>
      <c r="K1606" t="s">
        <v>46</v>
      </c>
      <c r="L1606" t="s">
        <v>46</v>
      </c>
      <c r="M1606" t="s">
        <v>67</v>
      </c>
      <c r="N1606" s="15">
        <v>86.06</v>
      </c>
      <c r="O1606" s="16">
        <v>-46.3</v>
      </c>
      <c r="P1606">
        <v>0</v>
      </c>
    </row>
    <row r="1607" spans="1:16" x14ac:dyDescent="0.3">
      <c r="A1607" t="s">
        <v>65</v>
      </c>
      <c r="B1607" t="s">
        <v>19</v>
      </c>
      <c r="C1607" t="s">
        <v>19</v>
      </c>
      <c r="D1607" t="s">
        <v>12</v>
      </c>
      <c r="E1607" t="s">
        <v>66</v>
      </c>
      <c r="F1607" t="s">
        <v>13</v>
      </c>
      <c r="G1607" s="15">
        <v>182.64</v>
      </c>
      <c r="H1607" t="s">
        <v>26</v>
      </c>
      <c r="I1607">
        <v>2</v>
      </c>
      <c r="J1607" t="s">
        <v>47</v>
      </c>
      <c r="K1607" t="s">
        <v>45</v>
      </c>
      <c r="L1607" t="s">
        <v>45</v>
      </c>
      <c r="M1607" t="s">
        <v>67</v>
      </c>
      <c r="N1607" s="15">
        <v>178.49</v>
      </c>
      <c r="O1607" s="16">
        <v>2.2999999999999998</v>
      </c>
      <c r="P1607">
        <v>0</v>
      </c>
    </row>
    <row r="1608" spans="1:16" x14ac:dyDescent="0.3">
      <c r="A1608" t="s">
        <v>57</v>
      </c>
      <c r="B1608" t="s">
        <v>19</v>
      </c>
      <c r="C1608" t="s">
        <v>19</v>
      </c>
      <c r="D1608" t="s">
        <v>14</v>
      </c>
      <c r="E1608" t="s">
        <v>71</v>
      </c>
      <c r="F1608" t="s">
        <v>9</v>
      </c>
      <c r="G1608" s="15">
        <v>56.24</v>
      </c>
      <c r="H1608" t="s">
        <v>27</v>
      </c>
      <c r="I1608">
        <v>3</v>
      </c>
      <c r="J1608" t="s">
        <v>48</v>
      </c>
      <c r="K1608" t="s">
        <v>46</v>
      </c>
      <c r="L1608" t="s">
        <v>45</v>
      </c>
      <c r="M1608" t="s">
        <v>72</v>
      </c>
      <c r="N1608" s="15">
        <v>65.77</v>
      </c>
      <c r="O1608" s="16">
        <v>-14.5</v>
      </c>
      <c r="P1608">
        <v>0</v>
      </c>
    </row>
    <row r="1609" spans="1:16" x14ac:dyDescent="0.3">
      <c r="A1609" t="s">
        <v>65</v>
      </c>
      <c r="B1609" t="s">
        <v>20</v>
      </c>
      <c r="C1609" t="s">
        <v>20</v>
      </c>
      <c r="D1609" t="s">
        <v>14</v>
      </c>
      <c r="E1609" t="s">
        <v>63</v>
      </c>
      <c r="F1609" t="s">
        <v>9</v>
      </c>
      <c r="G1609" s="15">
        <v>57.4</v>
      </c>
      <c r="H1609" t="s">
        <v>26</v>
      </c>
      <c r="I1609">
        <v>2</v>
      </c>
      <c r="J1609" t="s">
        <v>47</v>
      </c>
      <c r="K1609" t="s">
        <v>46</v>
      </c>
      <c r="L1609" t="s">
        <v>45</v>
      </c>
      <c r="M1609" t="s">
        <v>67</v>
      </c>
      <c r="N1609" s="15">
        <v>68.150000000000006</v>
      </c>
      <c r="O1609" s="16">
        <v>-15.8</v>
      </c>
      <c r="P1609">
        <v>0</v>
      </c>
    </row>
    <row r="1610" spans="1:16" x14ac:dyDescent="0.3">
      <c r="A1610" t="s">
        <v>57</v>
      </c>
      <c r="B1610" t="s">
        <v>21</v>
      </c>
      <c r="C1610" t="s">
        <v>62</v>
      </c>
      <c r="D1610" t="s">
        <v>11</v>
      </c>
      <c r="E1610" t="s">
        <v>79</v>
      </c>
      <c r="F1610" t="s">
        <v>9</v>
      </c>
      <c r="G1610" s="15">
        <v>27.57</v>
      </c>
      <c r="H1610" t="s">
        <v>26</v>
      </c>
      <c r="I1610">
        <v>2</v>
      </c>
      <c r="J1610" t="s">
        <v>48</v>
      </c>
      <c r="K1610" t="s">
        <v>46</v>
      </c>
      <c r="L1610" t="s">
        <v>45</v>
      </c>
      <c r="M1610" t="s">
        <v>67</v>
      </c>
      <c r="N1610" s="15">
        <v>30.93</v>
      </c>
      <c r="O1610" s="16">
        <v>-10.9</v>
      </c>
      <c r="P1610">
        <v>0</v>
      </c>
    </row>
    <row r="1611" spans="1:16" x14ac:dyDescent="0.3">
      <c r="A1611" t="s">
        <v>65</v>
      </c>
      <c r="B1611" t="s">
        <v>20</v>
      </c>
      <c r="C1611" t="s">
        <v>20</v>
      </c>
      <c r="D1611" t="s">
        <v>11</v>
      </c>
      <c r="E1611" t="s">
        <v>79</v>
      </c>
      <c r="F1611" t="s">
        <v>9</v>
      </c>
      <c r="G1611" s="15">
        <v>32.11</v>
      </c>
      <c r="H1611" t="s">
        <v>26</v>
      </c>
      <c r="I1611">
        <v>2</v>
      </c>
      <c r="J1611" t="s">
        <v>47</v>
      </c>
      <c r="K1611" t="s">
        <v>46</v>
      </c>
      <c r="L1611" t="s">
        <v>45</v>
      </c>
      <c r="M1611" t="s">
        <v>78</v>
      </c>
      <c r="N1611" s="15">
        <v>33.39</v>
      </c>
      <c r="O1611" s="16">
        <v>-3.8</v>
      </c>
      <c r="P1611">
        <v>0</v>
      </c>
    </row>
    <row r="1612" spans="1:16" x14ac:dyDescent="0.3">
      <c r="A1612" t="s">
        <v>60</v>
      </c>
      <c r="B1612" t="s">
        <v>22</v>
      </c>
      <c r="C1612" t="s">
        <v>22</v>
      </c>
      <c r="D1612" t="s">
        <v>14</v>
      </c>
      <c r="E1612" t="s">
        <v>63</v>
      </c>
      <c r="F1612" t="s">
        <v>9</v>
      </c>
      <c r="G1612" s="15">
        <v>62.96</v>
      </c>
      <c r="H1612" t="s">
        <v>27</v>
      </c>
      <c r="I1612">
        <v>3</v>
      </c>
      <c r="J1612" t="s">
        <v>48</v>
      </c>
      <c r="K1612" t="s">
        <v>46</v>
      </c>
      <c r="L1612" t="s">
        <v>45</v>
      </c>
      <c r="M1612" t="s">
        <v>68</v>
      </c>
      <c r="N1612" s="15">
        <v>66.680000000000007</v>
      </c>
      <c r="O1612" s="16">
        <v>-5.6</v>
      </c>
      <c r="P1612">
        <v>0</v>
      </c>
    </row>
    <row r="1613" spans="1:16" x14ac:dyDescent="0.3">
      <c r="A1613" t="s">
        <v>65</v>
      </c>
      <c r="B1613" t="s">
        <v>22</v>
      </c>
      <c r="C1613" t="s">
        <v>22</v>
      </c>
      <c r="D1613" t="s">
        <v>14</v>
      </c>
      <c r="E1613" t="s">
        <v>71</v>
      </c>
      <c r="F1613" t="s">
        <v>9</v>
      </c>
      <c r="G1613" s="15">
        <v>70.55</v>
      </c>
      <c r="H1613" t="s">
        <v>26</v>
      </c>
      <c r="I1613">
        <v>2</v>
      </c>
      <c r="J1613" t="s">
        <v>44</v>
      </c>
      <c r="K1613" t="s">
        <v>46</v>
      </c>
      <c r="L1613" t="s">
        <v>45</v>
      </c>
      <c r="M1613" t="s">
        <v>68</v>
      </c>
      <c r="N1613" s="15">
        <v>71.77</v>
      </c>
      <c r="O1613" s="16">
        <v>-1.7</v>
      </c>
      <c r="P1613">
        <v>0</v>
      </c>
    </row>
    <row r="1614" spans="1:16" x14ac:dyDescent="0.3">
      <c r="A1614" t="s">
        <v>65</v>
      </c>
      <c r="B1614" t="s">
        <v>21</v>
      </c>
      <c r="C1614" t="s">
        <v>62</v>
      </c>
      <c r="D1614" t="s">
        <v>11</v>
      </c>
      <c r="E1614" t="s">
        <v>70</v>
      </c>
      <c r="F1614" t="s">
        <v>9</v>
      </c>
      <c r="G1614" s="15">
        <v>24.85</v>
      </c>
      <c r="H1614" t="s">
        <v>27</v>
      </c>
      <c r="I1614">
        <v>3</v>
      </c>
      <c r="J1614" t="s">
        <v>47</v>
      </c>
      <c r="K1614" t="s">
        <v>46</v>
      </c>
      <c r="L1614" t="s">
        <v>45</v>
      </c>
      <c r="M1614" t="s">
        <v>59</v>
      </c>
      <c r="N1614" s="15">
        <v>32.630000000000003</v>
      </c>
      <c r="O1614" s="16">
        <v>-23.8</v>
      </c>
      <c r="P1614">
        <v>0</v>
      </c>
    </row>
    <row r="1615" spans="1:16" x14ac:dyDescent="0.3">
      <c r="A1615" t="s">
        <v>57</v>
      </c>
      <c r="B1615" t="s">
        <v>22</v>
      </c>
      <c r="C1615" t="s">
        <v>22</v>
      </c>
      <c r="D1615" t="s">
        <v>14</v>
      </c>
      <c r="E1615" t="s">
        <v>63</v>
      </c>
      <c r="F1615" t="s">
        <v>9</v>
      </c>
      <c r="G1615" s="15">
        <v>62.12</v>
      </c>
      <c r="H1615" t="s">
        <v>27</v>
      </c>
      <c r="I1615">
        <v>3</v>
      </c>
      <c r="J1615" t="s">
        <v>47</v>
      </c>
      <c r="K1615" t="s">
        <v>46</v>
      </c>
      <c r="L1615" t="s">
        <v>45</v>
      </c>
      <c r="M1615" t="s">
        <v>64</v>
      </c>
      <c r="N1615" s="15">
        <v>65.16</v>
      </c>
      <c r="O1615" s="16">
        <v>-4.7</v>
      </c>
      <c r="P1615">
        <v>0</v>
      </c>
    </row>
    <row r="1616" spans="1:16" x14ac:dyDescent="0.3">
      <c r="A1616" t="s">
        <v>60</v>
      </c>
      <c r="B1616" t="s">
        <v>18</v>
      </c>
      <c r="C1616" t="s">
        <v>18</v>
      </c>
      <c r="D1616" t="s">
        <v>14</v>
      </c>
      <c r="E1616" t="s">
        <v>63</v>
      </c>
      <c r="F1616" t="s">
        <v>9</v>
      </c>
      <c r="G1616" s="15">
        <v>66.17</v>
      </c>
      <c r="H1616" t="s">
        <v>26</v>
      </c>
      <c r="I1616">
        <v>2</v>
      </c>
      <c r="J1616" t="s">
        <v>48</v>
      </c>
      <c r="K1616" t="s">
        <v>46</v>
      </c>
      <c r="L1616" t="s">
        <v>45</v>
      </c>
      <c r="M1616" t="s">
        <v>67</v>
      </c>
      <c r="N1616" s="15">
        <v>66.680000000000007</v>
      </c>
      <c r="O1616" s="16">
        <v>-0.8</v>
      </c>
      <c r="P1616">
        <v>0</v>
      </c>
    </row>
    <row r="1617" spans="1:16" x14ac:dyDescent="0.3">
      <c r="A1617" t="s">
        <v>65</v>
      </c>
      <c r="B1617" t="s">
        <v>21</v>
      </c>
      <c r="C1617" t="s">
        <v>62</v>
      </c>
      <c r="D1617" t="s">
        <v>8</v>
      </c>
      <c r="E1617" t="s">
        <v>74</v>
      </c>
      <c r="F1617" t="s">
        <v>9</v>
      </c>
      <c r="G1617" s="15">
        <v>97.99</v>
      </c>
      <c r="H1617" t="s">
        <v>25</v>
      </c>
      <c r="I1617">
        <v>1</v>
      </c>
      <c r="J1617" t="s">
        <v>44</v>
      </c>
      <c r="K1617" t="s">
        <v>46</v>
      </c>
      <c r="L1617" t="s">
        <v>45</v>
      </c>
      <c r="M1617" t="s">
        <v>67</v>
      </c>
      <c r="N1617" s="15">
        <v>91.13</v>
      </c>
      <c r="O1617" s="16">
        <v>7.5</v>
      </c>
      <c r="P1617">
        <v>0</v>
      </c>
    </row>
    <row r="1618" spans="1:16" x14ac:dyDescent="0.3">
      <c r="A1618" t="s">
        <v>60</v>
      </c>
      <c r="B1618" t="s">
        <v>19</v>
      </c>
      <c r="C1618" t="s">
        <v>19</v>
      </c>
      <c r="D1618" t="s">
        <v>11</v>
      </c>
      <c r="E1618" t="s">
        <v>70</v>
      </c>
      <c r="F1618" t="s">
        <v>9</v>
      </c>
      <c r="G1618" s="15">
        <v>33.92</v>
      </c>
      <c r="H1618" t="s">
        <v>26</v>
      </c>
      <c r="I1618">
        <v>2</v>
      </c>
      <c r="J1618" t="s">
        <v>48</v>
      </c>
      <c r="K1618" t="s">
        <v>45</v>
      </c>
      <c r="L1618" t="s">
        <v>46</v>
      </c>
      <c r="M1618" t="s">
        <v>78</v>
      </c>
      <c r="N1618" s="15">
        <v>31.4</v>
      </c>
      <c r="O1618" s="16">
        <v>8</v>
      </c>
      <c r="P1618">
        <v>0</v>
      </c>
    </row>
    <row r="1619" spans="1:16" x14ac:dyDescent="0.3">
      <c r="A1619" t="s">
        <v>60</v>
      </c>
      <c r="B1619" t="s">
        <v>19</v>
      </c>
      <c r="C1619" t="s">
        <v>19</v>
      </c>
      <c r="D1619" t="s">
        <v>12</v>
      </c>
      <c r="E1619" t="s">
        <v>66</v>
      </c>
      <c r="F1619" t="s">
        <v>13</v>
      </c>
      <c r="G1619" s="15">
        <v>168.15</v>
      </c>
      <c r="H1619" t="s">
        <v>26</v>
      </c>
      <c r="I1619">
        <v>2</v>
      </c>
      <c r="J1619" t="s">
        <v>48</v>
      </c>
      <c r="K1619" t="s">
        <v>45</v>
      </c>
      <c r="L1619" t="s">
        <v>45</v>
      </c>
      <c r="M1619" t="s">
        <v>64</v>
      </c>
      <c r="N1619" s="15">
        <v>168.34</v>
      </c>
      <c r="O1619" s="16">
        <v>-0.1</v>
      </c>
      <c r="P1619">
        <v>0</v>
      </c>
    </row>
    <row r="1620" spans="1:16" x14ac:dyDescent="0.3">
      <c r="A1620" t="s">
        <v>65</v>
      </c>
      <c r="B1620" t="s">
        <v>19</v>
      </c>
      <c r="C1620" t="s">
        <v>19</v>
      </c>
      <c r="D1620" t="s">
        <v>8</v>
      </c>
      <c r="E1620" t="s">
        <v>73</v>
      </c>
      <c r="F1620" t="s">
        <v>9</v>
      </c>
      <c r="G1620" s="15">
        <v>71.62</v>
      </c>
      <c r="H1620" t="s">
        <v>27</v>
      </c>
      <c r="I1620">
        <v>3</v>
      </c>
      <c r="J1620" t="s">
        <v>48</v>
      </c>
      <c r="K1620" t="s">
        <v>46</v>
      </c>
      <c r="L1620" t="s">
        <v>46</v>
      </c>
      <c r="M1620" t="s">
        <v>67</v>
      </c>
      <c r="N1620" s="15">
        <v>88.05</v>
      </c>
      <c r="O1620" s="16">
        <v>-18.7</v>
      </c>
      <c r="P1620">
        <v>0</v>
      </c>
    </row>
    <row r="1621" spans="1:16" x14ac:dyDescent="0.3">
      <c r="A1621" t="s">
        <v>65</v>
      </c>
      <c r="B1621" t="s">
        <v>20</v>
      </c>
      <c r="C1621" t="s">
        <v>20</v>
      </c>
      <c r="D1621" t="s">
        <v>10</v>
      </c>
      <c r="E1621" t="s">
        <v>58</v>
      </c>
      <c r="F1621" t="s">
        <v>9</v>
      </c>
      <c r="G1621" s="15">
        <v>137.86000000000001</v>
      </c>
      <c r="H1621" t="s">
        <v>26</v>
      </c>
      <c r="I1621">
        <v>2</v>
      </c>
      <c r="J1621" t="s">
        <v>48</v>
      </c>
      <c r="K1621" t="s">
        <v>45</v>
      </c>
      <c r="L1621" t="s">
        <v>45</v>
      </c>
      <c r="M1621" t="s">
        <v>72</v>
      </c>
      <c r="N1621" s="15">
        <v>166.29</v>
      </c>
      <c r="O1621" s="16">
        <v>-17.100000000000001</v>
      </c>
      <c r="P1621">
        <v>0</v>
      </c>
    </row>
    <row r="1622" spans="1:16" x14ac:dyDescent="0.3">
      <c r="A1622" t="s">
        <v>65</v>
      </c>
      <c r="B1622" t="s">
        <v>21</v>
      </c>
      <c r="C1622" t="s">
        <v>62</v>
      </c>
      <c r="D1622" t="s">
        <v>15</v>
      </c>
      <c r="E1622" t="s">
        <v>75</v>
      </c>
      <c r="F1622" t="s">
        <v>9</v>
      </c>
      <c r="G1622" s="15">
        <v>137.29</v>
      </c>
      <c r="H1622" t="s">
        <v>25</v>
      </c>
      <c r="I1622">
        <v>1</v>
      </c>
      <c r="J1622" t="s">
        <v>47</v>
      </c>
      <c r="K1622" t="s">
        <v>45</v>
      </c>
      <c r="L1622" t="s">
        <v>45</v>
      </c>
      <c r="M1622" t="s">
        <v>64</v>
      </c>
      <c r="N1622" s="15">
        <v>126.9</v>
      </c>
      <c r="O1622" s="16">
        <v>8.1999999999999993</v>
      </c>
      <c r="P1622">
        <v>0</v>
      </c>
    </row>
    <row r="1623" spans="1:16" x14ac:dyDescent="0.3">
      <c r="A1623" t="s">
        <v>60</v>
      </c>
      <c r="B1623" t="s">
        <v>21</v>
      </c>
      <c r="C1623" t="s">
        <v>62</v>
      </c>
      <c r="D1623" t="s">
        <v>12</v>
      </c>
      <c r="E1623" t="s">
        <v>80</v>
      </c>
      <c r="F1623" t="s">
        <v>13</v>
      </c>
      <c r="G1623" s="15">
        <v>183.98</v>
      </c>
      <c r="H1623" t="s">
        <v>26</v>
      </c>
      <c r="I1623">
        <v>2</v>
      </c>
      <c r="J1623" t="s">
        <v>48</v>
      </c>
      <c r="K1623" t="s">
        <v>45</v>
      </c>
      <c r="L1623" t="s">
        <v>45</v>
      </c>
      <c r="M1623" t="s">
        <v>64</v>
      </c>
      <c r="N1623" s="15">
        <v>167.63</v>
      </c>
      <c r="O1623" s="16">
        <v>9.8000000000000007</v>
      </c>
      <c r="P1623">
        <v>0</v>
      </c>
    </row>
    <row r="1624" spans="1:16" x14ac:dyDescent="0.3">
      <c r="A1624" t="s">
        <v>60</v>
      </c>
      <c r="B1624" t="s">
        <v>19</v>
      </c>
      <c r="C1624" t="s">
        <v>19</v>
      </c>
      <c r="D1624" t="s">
        <v>15</v>
      </c>
      <c r="E1624" t="s">
        <v>76</v>
      </c>
      <c r="F1624" t="s">
        <v>9</v>
      </c>
      <c r="G1624" s="15">
        <v>116.32</v>
      </c>
      <c r="H1624" t="s">
        <v>25</v>
      </c>
      <c r="I1624">
        <v>1</v>
      </c>
      <c r="J1624" t="s">
        <v>48</v>
      </c>
      <c r="K1624" t="s">
        <v>46</v>
      </c>
      <c r="L1624" t="s">
        <v>45</v>
      </c>
      <c r="M1624" t="s">
        <v>78</v>
      </c>
      <c r="N1624" s="15">
        <v>116.32</v>
      </c>
      <c r="O1624" s="16">
        <v>0</v>
      </c>
      <c r="P1624">
        <v>0</v>
      </c>
    </row>
    <row r="1625" spans="1:16" x14ac:dyDescent="0.3">
      <c r="A1625" t="s">
        <v>57</v>
      </c>
      <c r="B1625" t="s">
        <v>18</v>
      </c>
      <c r="C1625" t="s">
        <v>18</v>
      </c>
      <c r="D1625" t="s">
        <v>14</v>
      </c>
      <c r="E1625" t="s">
        <v>71</v>
      </c>
      <c r="F1625" t="s">
        <v>9</v>
      </c>
      <c r="G1625" s="15">
        <v>76.489999999999995</v>
      </c>
      <c r="H1625" t="s">
        <v>26</v>
      </c>
      <c r="I1625">
        <v>2</v>
      </c>
      <c r="J1625" t="s">
        <v>47</v>
      </c>
      <c r="K1625" t="s">
        <v>46</v>
      </c>
      <c r="L1625" t="s">
        <v>45</v>
      </c>
      <c r="M1625" t="s">
        <v>67</v>
      </c>
      <c r="N1625" s="15">
        <v>65.77</v>
      </c>
      <c r="O1625" s="16">
        <v>16.3</v>
      </c>
      <c r="P1625">
        <v>1</v>
      </c>
    </row>
    <row r="1626" spans="1:16" x14ac:dyDescent="0.3">
      <c r="A1626" t="s">
        <v>65</v>
      </c>
      <c r="B1626" t="s">
        <v>17</v>
      </c>
      <c r="C1626" t="s">
        <v>17</v>
      </c>
      <c r="D1626" t="s">
        <v>8</v>
      </c>
      <c r="E1626" t="s">
        <v>73</v>
      </c>
      <c r="F1626" t="s">
        <v>9</v>
      </c>
      <c r="G1626" s="15">
        <v>114.36</v>
      </c>
      <c r="H1626" t="s">
        <v>25</v>
      </c>
      <c r="I1626">
        <v>1</v>
      </c>
      <c r="J1626" t="s">
        <v>44</v>
      </c>
      <c r="K1626" t="s">
        <v>45</v>
      </c>
      <c r="L1626" t="s">
        <v>45</v>
      </c>
      <c r="M1626" t="s">
        <v>68</v>
      </c>
      <c r="N1626" s="15">
        <v>88.05</v>
      </c>
      <c r="O1626" s="16">
        <v>29.9</v>
      </c>
      <c r="P1626">
        <v>1</v>
      </c>
    </row>
    <row r="1627" spans="1:16" x14ac:dyDescent="0.3">
      <c r="A1627" t="s">
        <v>60</v>
      </c>
      <c r="B1627" t="s">
        <v>21</v>
      </c>
      <c r="C1627" t="s">
        <v>62</v>
      </c>
      <c r="D1627" t="s">
        <v>14</v>
      </c>
      <c r="E1627" t="s">
        <v>71</v>
      </c>
      <c r="F1627" t="s">
        <v>9</v>
      </c>
      <c r="G1627" s="15">
        <v>62.75</v>
      </c>
      <c r="H1627" t="s">
        <v>26</v>
      </c>
      <c r="I1627">
        <v>2</v>
      </c>
      <c r="J1627" t="s">
        <v>48</v>
      </c>
      <c r="K1627" t="s">
        <v>46</v>
      </c>
      <c r="L1627" t="s">
        <v>45</v>
      </c>
      <c r="M1627" t="s">
        <v>72</v>
      </c>
      <c r="N1627" s="15">
        <v>65.239999999999995</v>
      </c>
      <c r="O1627" s="16">
        <v>-3.8</v>
      </c>
      <c r="P1627">
        <v>0</v>
      </c>
    </row>
    <row r="1628" spans="1:16" x14ac:dyDescent="0.3">
      <c r="A1628" t="s">
        <v>65</v>
      </c>
      <c r="B1628" t="s">
        <v>17</v>
      </c>
      <c r="C1628" t="s">
        <v>17</v>
      </c>
      <c r="D1628" t="s">
        <v>12</v>
      </c>
      <c r="E1628" t="s">
        <v>66</v>
      </c>
      <c r="F1628" t="s">
        <v>13</v>
      </c>
      <c r="G1628" s="15">
        <v>183.83</v>
      </c>
      <c r="H1628" t="s">
        <v>26</v>
      </c>
      <c r="I1628">
        <v>2</v>
      </c>
      <c r="J1628" t="s">
        <v>47</v>
      </c>
      <c r="K1628" t="s">
        <v>45</v>
      </c>
      <c r="L1628" t="s">
        <v>45</v>
      </c>
      <c r="M1628" t="s">
        <v>67</v>
      </c>
      <c r="N1628" s="15">
        <v>178.49</v>
      </c>
      <c r="O1628" s="16">
        <v>3</v>
      </c>
      <c r="P1628">
        <v>0</v>
      </c>
    </row>
    <row r="1629" spans="1:16" x14ac:dyDescent="0.3">
      <c r="A1629" t="s">
        <v>65</v>
      </c>
      <c r="B1629" t="s">
        <v>20</v>
      </c>
      <c r="C1629" t="s">
        <v>20</v>
      </c>
      <c r="D1629" t="s">
        <v>11</v>
      </c>
      <c r="E1629" t="s">
        <v>79</v>
      </c>
      <c r="F1629" t="s">
        <v>9</v>
      </c>
      <c r="G1629" s="15">
        <v>29.74</v>
      </c>
      <c r="H1629" t="s">
        <v>26</v>
      </c>
      <c r="I1629">
        <v>2</v>
      </c>
      <c r="J1629" t="s">
        <v>48</v>
      </c>
      <c r="K1629" t="s">
        <v>46</v>
      </c>
      <c r="L1629" t="s">
        <v>45</v>
      </c>
      <c r="M1629" t="s">
        <v>68</v>
      </c>
      <c r="N1629" s="15">
        <v>33.39</v>
      </c>
      <c r="O1629" s="16">
        <v>-10.9</v>
      </c>
      <c r="P1629">
        <v>0</v>
      </c>
    </row>
    <row r="1630" spans="1:16" x14ac:dyDescent="0.3">
      <c r="A1630" t="s">
        <v>65</v>
      </c>
      <c r="B1630" t="s">
        <v>18</v>
      </c>
      <c r="C1630" t="s">
        <v>18</v>
      </c>
      <c r="D1630" t="s">
        <v>15</v>
      </c>
      <c r="E1630" t="s">
        <v>75</v>
      </c>
      <c r="F1630" t="s">
        <v>9</v>
      </c>
      <c r="G1630" s="15">
        <v>105.6</v>
      </c>
      <c r="H1630" t="s">
        <v>26</v>
      </c>
      <c r="I1630">
        <v>2</v>
      </c>
      <c r="J1630" t="s">
        <v>47</v>
      </c>
      <c r="K1630" t="s">
        <v>46</v>
      </c>
      <c r="L1630" t="s">
        <v>45</v>
      </c>
      <c r="M1630" t="s">
        <v>64</v>
      </c>
      <c r="N1630" s="15">
        <v>126.9</v>
      </c>
      <c r="O1630" s="16">
        <v>-16.8</v>
      </c>
      <c r="P1630">
        <v>0</v>
      </c>
    </row>
    <row r="1631" spans="1:16" x14ac:dyDescent="0.3">
      <c r="A1631" t="s">
        <v>60</v>
      </c>
      <c r="B1631" t="s">
        <v>22</v>
      </c>
      <c r="C1631" t="s">
        <v>22</v>
      </c>
      <c r="D1631" t="s">
        <v>10</v>
      </c>
      <c r="E1631" t="s">
        <v>69</v>
      </c>
      <c r="F1631" t="s">
        <v>9</v>
      </c>
      <c r="G1631" s="15">
        <v>183.6</v>
      </c>
      <c r="H1631" t="s">
        <v>25</v>
      </c>
      <c r="I1631">
        <v>1</v>
      </c>
      <c r="J1631" t="s">
        <v>47</v>
      </c>
      <c r="K1631" t="s">
        <v>45</v>
      </c>
      <c r="L1631" t="s">
        <v>45</v>
      </c>
      <c r="M1631" t="s">
        <v>78</v>
      </c>
      <c r="N1631" s="15">
        <v>158.6</v>
      </c>
      <c r="O1631" s="16">
        <v>15.8</v>
      </c>
      <c r="P1631">
        <v>1</v>
      </c>
    </row>
    <row r="1632" spans="1:16" x14ac:dyDescent="0.3">
      <c r="A1632" t="s">
        <v>57</v>
      </c>
      <c r="B1632" t="s">
        <v>20</v>
      </c>
      <c r="C1632" t="s">
        <v>20</v>
      </c>
      <c r="D1632" t="s">
        <v>12</v>
      </c>
      <c r="E1632" t="s">
        <v>80</v>
      </c>
      <c r="F1632" t="s">
        <v>13</v>
      </c>
      <c r="G1632" s="15">
        <v>161.47999999999999</v>
      </c>
      <c r="H1632" t="s">
        <v>26</v>
      </c>
      <c r="I1632">
        <v>2</v>
      </c>
      <c r="J1632" t="s">
        <v>48</v>
      </c>
      <c r="K1632" t="s">
        <v>45</v>
      </c>
      <c r="L1632" t="s">
        <v>45</v>
      </c>
      <c r="M1632" t="s">
        <v>78</v>
      </c>
      <c r="N1632" s="15">
        <v>162.72999999999999</v>
      </c>
      <c r="O1632" s="16">
        <v>-0.8</v>
      </c>
      <c r="P1632">
        <v>0</v>
      </c>
    </row>
    <row r="1633" spans="1:16" x14ac:dyDescent="0.3">
      <c r="A1633" t="s">
        <v>65</v>
      </c>
      <c r="B1633" t="s">
        <v>21</v>
      </c>
      <c r="C1633" t="s">
        <v>62</v>
      </c>
      <c r="D1633" t="s">
        <v>8</v>
      </c>
      <c r="E1633" t="s">
        <v>73</v>
      </c>
      <c r="F1633" t="s">
        <v>9</v>
      </c>
      <c r="G1633" s="15">
        <v>106.08</v>
      </c>
      <c r="H1633" t="s">
        <v>26</v>
      </c>
      <c r="I1633">
        <v>2</v>
      </c>
      <c r="J1633" t="s">
        <v>47</v>
      </c>
      <c r="K1633" t="s">
        <v>45</v>
      </c>
      <c r="L1633" t="s">
        <v>45</v>
      </c>
      <c r="M1633" t="s">
        <v>78</v>
      </c>
      <c r="N1633" s="15">
        <v>88.05</v>
      </c>
      <c r="O1633" s="16">
        <v>20.5</v>
      </c>
      <c r="P1633">
        <v>1</v>
      </c>
    </row>
    <row r="1634" spans="1:16" x14ac:dyDescent="0.3">
      <c r="A1634" t="s">
        <v>60</v>
      </c>
      <c r="B1634" t="s">
        <v>21</v>
      </c>
      <c r="C1634" t="s">
        <v>62</v>
      </c>
      <c r="D1634" t="s">
        <v>10</v>
      </c>
      <c r="E1634" t="s">
        <v>69</v>
      </c>
      <c r="F1634" t="s">
        <v>9</v>
      </c>
      <c r="G1634" s="15">
        <v>128.44999999999999</v>
      </c>
      <c r="H1634" t="s">
        <v>26</v>
      </c>
      <c r="I1634">
        <v>2</v>
      </c>
      <c r="J1634" t="s">
        <v>47</v>
      </c>
      <c r="K1634" t="s">
        <v>46</v>
      </c>
      <c r="L1634" t="s">
        <v>45</v>
      </c>
      <c r="M1634" t="s">
        <v>67</v>
      </c>
      <c r="N1634" s="15">
        <v>158.6</v>
      </c>
      <c r="O1634" s="16">
        <v>-19</v>
      </c>
      <c r="P1634">
        <v>0</v>
      </c>
    </row>
    <row r="1635" spans="1:16" x14ac:dyDescent="0.3">
      <c r="A1635" t="s">
        <v>65</v>
      </c>
      <c r="B1635" t="s">
        <v>19</v>
      </c>
      <c r="C1635" t="s">
        <v>19</v>
      </c>
      <c r="D1635" t="s">
        <v>15</v>
      </c>
      <c r="E1635" t="s">
        <v>75</v>
      </c>
      <c r="F1635" t="s">
        <v>9</v>
      </c>
      <c r="G1635" s="15">
        <v>140</v>
      </c>
      <c r="H1635" t="s">
        <v>26</v>
      </c>
      <c r="I1635">
        <v>2</v>
      </c>
      <c r="J1635" t="s">
        <v>47</v>
      </c>
      <c r="K1635" t="s">
        <v>45</v>
      </c>
      <c r="L1635" t="s">
        <v>46</v>
      </c>
      <c r="M1635" t="s">
        <v>68</v>
      </c>
      <c r="N1635" s="15">
        <v>126.9</v>
      </c>
      <c r="O1635" s="16">
        <v>10.3</v>
      </c>
      <c r="P1635">
        <v>0</v>
      </c>
    </row>
    <row r="1636" spans="1:16" x14ac:dyDescent="0.3">
      <c r="A1636" t="s">
        <v>57</v>
      </c>
      <c r="B1636" t="s">
        <v>19</v>
      </c>
      <c r="C1636" t="s">
        <v>19</v>
      </c>
      <c r="D1636" t="s">
        <v>14</v>
      </c>
      <c r="E1636" t="s">
        <v>63</v>
      </c>
      <c r="F1636" t="s">
        <v>9</v>
      </c>
      <c r="G1636" s="15">
        <v>67.760000000000005</v>
      </c>
      <c r="H1636" t="s">
        <v>25</v>
      </c>
      <c r="I1636">
        <v>1</v>
      </c>
      <c r="J1636" t="s">
        <v>48</v>
      </c>
      <c r="K1636" t="s">
        <v>45</v>
      </c>
      <c r="L1636" t="s">
        <v>45</v>
      </c>
      <c r="M1636" t="s">
        <v>78</v>
      </c>
      <c r="N1636" s="15">
        <v>65.16</v>
      </c>
      <c r="O1636" s="16">
        <v>4</v>
      </c>
      <c r="P1636">
        <v>0</v>
      </c>
    </row>
    <row r="1637" spans="1:16" x14ac:dyDescent="0.3">
      <c r="A1637" t="s">
        <v>57</v>
      </c>
      <c r="B1637" t="s">
        <v>21</v>
      </c>
      <c r="C1637" t="s">
        <v>62</v>
      </c>
      <c r="D1637" t="s">
        <v>10</v>
      </c>
      <c r="E1637" t="s">
        <v>58</v>
      </c>
      <c r="F1637" t="s">
        <v>9</v>
      </c>
      <c r="G1637" s="15">
        <v>143.94999999999999</v>
      </c>
      <c r="H1637" t="s">
        <v>27</v>
      </c>
      <c r="I1637">
        <v>3</v>
      </c>
      <c r="J1637" t="s">
        <v>48</v>
      </c>
      <c r="K1637" t="s">
        <v>45</v>
      </c>
      <c r="L1637" t="s">
        <v>45</v>
      </c>
      <c r="M1637" t="s">
        <v>67</v>
      </c>
      <c r="N1637" s="15">
        <v>151.19</v>
      </c>
      <c r="O1637" s="16">
        <v>-4.8</v>
      </c>
      <c r="P1637">
        <v>0</v>
      </c>
    </row>
    <row r="1638" spans="1:16" x14ac:dyDescent="0.3">
      <c r="A1638" t="s">
        <v>65</v>
      </c>
      <c r="B1638" t="s">
        <v>21</v>
      </c>
      <c r="C1638" t="s">
        <v>62</v>
      </c>
      <c r="D1638" t="s">
        <v>14</v>
      </c>
      <c r="E1638" t="s">
        <v>63</v>
      </c>
      <c r="F1638" t="s">
        <v>9</v>
      </c>
      <c r="G1638" s="15">
        <v>72.599999999999994</v>
      </c>
      <c r="H1638" t="s">
        <v>26</v>
      </c>
      <c r="I1638">
        <v>2</v>
      </c>
      <c r="J1638" t="s">
        <v>47</v>
      </c>
      <c r="K1638" t="s">
        <v>45</v>
      </c>
      <c r="L1638" t="s">
        <v>46</v>
      </c>
      <c r="M1638" t="s">
        <v>61</v>
      </c>
      <c r="N1638" s="15">
        <v>68.150000000000006</v>
      </c>
      <c r="O1638" s="16">
        <v>6.5</v>
      </c>
      <c r="P1638">
        <v>0</v>
      </c>
    </row>
    <row r="1639" spans="1:16" x14ac:dyDescent="0.3">
      <c r="A1639" t="s">
        <v>57</v>
      </c>
      <c r="B1639" t="s">
        <v>22</v>
      </c>
      <c r="C1639" t="s">
        <v>22</v>
      </c>
      <c r="D1639" t="s">
        <v>14</v>
      </c>
      <c r="E1639" t="s">
        <v>77</v>
      </c>
      <c r="F1639" t="s">
        <v>9</v>
      </c>
      <c r="G1639" s="15">
        <v>64.430000000000007</v>
      </c>
      <c r="H1639" t="s">
        <v>25</v>
      </c>
      <c r="I1639">
        <v>1</v>
      </c>
      <c r="J1639" t="s">
        <v>48</v>
      </c>
      <c r="K1639" t="s">
        <v>46</v>
      </c>
      <c r="L1639" t="s">
        <v>45</v>
      </c>
      <c r="M1639" t="s">
        <v>64</v>
      </c>
      <c r="N1639" s="15">
        <v>65.97</v>
      </c>
      <c r="O1639" s="16">
        <v>-2.2999999999999998</v>
      </c>
      <c r="P1639">
        <v>0</v>
      </c>
    </row>
    <row r="1640" spans="1:16" x14ac:dyDescent="0.3">
      <c r="A1640" t="s">
        <v>57</v>
      </c>
      <c r="B1640" t="s">
        <v>17</v>
      </c>
      <c r="C1640" t="s">
        <v>17</v>
      </c>
      <c r="D1640" t="s">
        <v>10</v>
      </c>
      <c r="E1640" t="s">
        <v>69</v>
      </c>
      <c r="F1640" t="s">
        <v>9</v>
      </c>
      <c r="G1640" s="15">
        <v>152.24</v>
      </c>
      <c r="H1640" t="s">
        <v>26</v>
      </c>
      <c r="I1640">
        <v>2</v>
      </c>
      <c r="J1640" t="s">
        <v>48</v>
      </c>
      <c r="K1640" t="s">
        <v>46</v>
      </c>
      <c r="L1640" t="s">
        <v>45</v>
      </c>
      <c r="M1640" t="s">
        <v>72</v>
      </c>
      <c r="N1640" s="15">
        <v>150.38999999999999</v>
      </c>
      <c r="O1640" s="16">
        <v>1.2</v>
      </c>
      <c r="P1640">
        <v>0</v>
      </c>
    </row>
    <row r="1641" spans="1:16" x14ac:dyDescent="0.3">
      <c r="A1641" t="s">
        <v>65</v>
      </c>
      <c r="B1641" t="s">
        <v>20</v>
      </c>
      <c r="C1641" t="s">
        <v>20</v>
      </c>
      <c r="D1641" t="s">
        <v>14</v>
      </c>
      <c r="E1641" t="s">
        <v>77</v>
      </c>
      <c r="F1641" t="s">
        <v>9</v>
      </c>
      <c r="G1641" s="15">
        <v>72.02</v>
      </c>
      <c r="H1641" t="s">
        <v>26</v>
      </c>
      <c r="I1641">
        <v>2</v>
      </c>
      <c r="J1641" t="s">
        <v>47</v>
      </c>
      <c r="K1641" t="s">
        <v>45</v>
      </c>
      <c r="L1641" t="s">
        <v>45</v>
      </c>
      <c r="M1641" t="s">
        <v>68</v>
      </c>
      <c r="N1641" s="15">
        <v>70.66</v>
      </c>
      <c r="O1641" s="16">
        <v>1.9</v>
      </c>
      <c r="P1641">
        <v>0</v>
      </c>
    </row>
    <row r="1642" spans="1:16" x14ac:dyDescent="0.3">
      <c r="A1642" t="s">
        <v>60</v>
      </c>
      <c r="B1642" t="s">
        <v>22</v>
      </c>
      <c r="C1642" t="s">
        <v>22</v>
      </c>
      <c r="D1642" t="s">
        <v>12</v>
      </c>
      <c r="E1642" t="s">
        <v>66</v>
      </c>
      <c r="F1642" t="s">
        <v>13</v>
      </c>
      <c r="G1642" s="15">
        <v>162.58000000000001</v>
      </c>
      <c r="H1642" t="s">
        <v>27</v>
      </c>
      <c r="I1642">
        <v>3</v>
      </c>
      <c r="J1642" t="s">
        <v>48</v>
      </c>
      <c r="K1642" t="s">
        <v>45</v>
      </c>
      <c r="L1642" t="s">
        <v>45</v>
      </c>
      <c r="M1642" t="s">
        <v>61</v>
      </c>
      <c r="N1642" s="15">
        <v>168.34</v>
      </c>
      <c r="O1642" s="16">
        <v>-3.4</v>
      </c>
      <c r="P1642">
        <v>0</v>
      </c>
    </row>
    <row r="1643" spans="1:16" x14ac:dyDescent="0.3">
      <c r="A1643" t="s">
        <v>57</v>
      </c>
      <c r="B1643" t="s">
        <v>17</v>
      </c>
      <c r="C1643" t="s">
        <v>17</v>
      </c>
      <c r="D1643" t="s">
        <v>11</v>
      </c>
      <c r="E1643" t="s">
        <v>79</v>
      </c>
      <c r="F1643" t="s">
        <v>9</v>
      </c>
      <c r="G1643" s="15">
        <v>26.99</v>
      </c>
      <c r="H1643" t="s">
        <v>26</v>
      </c>
      <c r="I1643">
        <v>2</v>
      </c>
      <c r="J1643" t="s">
        <v>48</v>
      </c>
      <c r="K1643" t="s">
        <v>46</v>
      </c>
      <c r="L1643" t="s">
        <v>45</v>
      </c>
      <c r="M1643" t="s">
        <v>59</v>
      </c>
      <c r="N1643" s="15">
        <v>30.93</v>
      </c>
      <c r="O1643" s="16">
        <v>-12.7</v>
      </c>
      <c r="P1643">
        <v>0</v>
      </c>
    </row>
    <row r="1644" spans="1:16" x14ac:dyDescent="0.3">
      <c r="A1644" t="s">
        <v>65</v>
      </c>
      <c r="B1644" t="s">
        <v>18</v>
      </c>
      <c r="C1644" t="s">
        <v>18</v>
      </c>
      <c r="D1644" t="s">
        <v>10</v>
      </c>
      <c r="E1644" t="s">
        <v>69</v>
      </c>
      <c r="F1644" t="s">
        <v>9</v>
      </c>
      <c r="G1644" s="15">
        <v>155.1</v>
      </c>
      <c r="H1644" t="s">
        <v>26</v>
      </c>
      <c r="I1644">
        <v>2</v>
      </c>
      <c r="J1644" t="s">
        <v>47</v>
      </c>
      <c r="K1644" t="s">
        <v>45</v>
      </c>
      <c r="L1644" t="s">
        <v>45</v>
      </c>
      <c r="M1644" t="s">
        <v>78</v>
      </c>
      <c r="N1644" s="15">
        <v>158.91999999999999</v>
      </c>
      <c r="O1644" s="16">
        <v>-2.4</v>
      </c>
      <c r="P1644">
        <v>0</v>
      </c>
    </row>
    <row r="1645" spans="1:16" x14ac:dyDescent="0.3">
      <c r="A1645" t="s">
        <v>57</v>
      </c>
      <c r="B1645" t="s">
        <v>20</v>
      </c>
      <c r="C1645" t="s">
        <v>20</v>
      </c>
      <c r="D1645" t="s">
        <v>10</v>
      </c>
      <c r="E1645" t="s">
        <v>69</v>
      </c>
      <c r="F1645" t="s">
        <v>9</v>
      </c>
      <c r="G1645" s="15">
        <v>147.86000000000001</v>
      </c>
      <c r="H1645" t="s">
        <v>26</v>
      </c>
      <c r="I1645">
        <v>2</v>
      </c>
      <c r="J1645" t="s">
        <v>48</v>
      </c>
      <c r="K1645" t="s">
        <v>46</v>
      </c>
      <c r="L1645" t="s">
        <v>45</v>
      </c>
      <c r="M1645" t="s">
        <v>61</v>
      </c>
      <c r="N1645" s="15">
        <v>150.38999999999999</v>
      </c>
      <c r="O1645" s="16">
        <v>-1.7</v>
      </c>
      <c r="P1645">
        <v>0</v>
      </c>
    </row>
    <row r="1646" spans="1:16" x14ac:dyDescent="0.3">
      <c r="A1646" t="s">
        <v>60</v>
      </c>
      <c r="B1646" t="s">
        <v>21</v>
      </c>
      <c r="C1646" t="s">
        <v>62</v>
      </c>
      <c r="D1646" t="s">
        <v>8</v>
      </c>
      <c r="E1646" t="s">
        <v>74</v>
      </c>
      <c r="F1646" t="s">
        <v>9</v>
      </c>
      <c r="G1646" s="15">
        <v>91.44</v>
      </c>
      <c r="H1646" t="s">
        <v>26</v>
      </c>
      <c r="I1646">
        <v>2</v>
      </c>
      <c r="J1646" t="s">
        <v>48</v>
      </c>
      <c r="K1646" t="s">
        <v>45</v>
      </c>
      <c r="L1646" t="s">
        <v>45</v>
      </c>
      <c r="M1646" t="s">
        <v>72</v>
      </c>
      <c r="N1646" s="15">
        <v>78.260000000000005</v>
      </c>
      <c r="O1646" s="16">
        <v>16.8</v>
      </c>
      <c r="P1646">
        <v>1</v>
      </c>
    </row>
    <row r="1647" spans="1:16" x14ac:dyDescent="0.3">
      <c r="A1647" t="s">
        <v>65</v>
      </c>
      <c r="B1647" t="s">
        <v>22</v>
      </c>
      <c r="C1647" t="s">
        <v>22</v>
      </c>
      <c r="D1647" t="s">
        <v>8</v>
      </c>
      <c r="E1647" t="s">
        <v>74</v>
      </c>
      <c r="F1647" t="s">
        <v>9</v>
      </c>
      <c r="G1647" s="15">
        <v>99.34</v>
      </c>
      <c r="H1647" t="s">
        <v>26</v>
      </c>
      <c r="I1647">
        <v>2</v>
      </c>
      <c r="J1647" t="s">
        <v>47</v>
      </c>
      <c r="K1647" t="s">
        <v>45</v>
      </c>
      <c r="L1647" t="s">
        <v>46</v>
      </c>
      <c r="M1647" t="s">
        <v>59</v>
      </c>
      <c r="N1647" s="15">
        <v>91.13</v>
      </c>
      <c r="O1647" s="16">
        <v>9</v>
      </c>
      <c r="P1647">
        <v>0</v>
      </c>
    </row>
    <row r="1648" spans="1:16" x14ac:dyDescent="0.3">
      <c r="A1648" t="s">
        <v>57</v>
      </c>
      <c r="B1648" t="s">
        <v>20</v>
      </c>
      <c r="C1648" t="s">
        <v>20</v>
      </c>
      <c r="D1648" t="s">
        <v>11</v>
      </c>
      <c r="E1648" t="s">
        <v>70</v>
      </c>
      <c r="F1648" t="s">
        <v>9</v>
      </c>
      <c r="G1648" s="15">
        <v>31.34</v>
      </c>
      <c r="H1648" t="s">
        <v>25</v>
      </c>
      <c r="I1648">
        <v>1</v>
      </c>
      <c r="J1648" t="s">
        <v>47</v>
      </c>
      <c r="K1648" t="s">
        <v>46</v>
      </c>
      <c r="L1648" t="s">
        <v>45</v>
      </c>
      <c r="M1648" t="s">
        <v>72</v>
      </c>
      <c r="N1648" s="15">
        <v>30.5</v>
      </c>
      <c r="O1648" s="16">
        <v>2.8</v>
      </c>
      <c r="P1648">
        <v>0</v>
      </c>
    </row>
    <row r="1649" spans="1:16" x14ac:dyDescent="0.3">
      <c r="A1649" t="s">
        <v>57</v>
      </c>
      <c r="B1649" t="s">
        <v>20</v>
      </c>
      <c r="C1649" t="s">
        <v>20</v>
      </c>
      <c r="D1649" t="s">
        <v>12</v>
      </c>
      <c r="E1649" t="s">
        <v>66</v>
      </c>
      <c r="F1649" t="s">
        <v>13</v>
      </c>
      <c r="G1649" s="15">
        <v>125.9</v>
      </c>
      <c r="H1649" t="s">
        <v>27</v>
      </c>
      <c r="I1649">
        <v>3</v>
      </c>
      <c r="J1649" t="s">
        <v>48</v>
      </c>
      <c r="K1649" t="s">
        <v>46</v>
      </c>
      <c r="L1649" t="s">
        <v>45</v>
      </c>
      <c r="M1649" t="s">
        <v>68</v>
      </c>
      <c r="N1649" s="15">
        <v>170.56</v>
      </c>
      <c r="O1649" s="16">
        <v>-26.2</v>
      </c>
      <c r="P1649">
        <v>0</v>
      </c>
    </row>
    <row r="1650" spans="1:16" x14ac:dyDescent="0.3">
      <c r="A1650" t="s">
        <v>60</v>
      </c>
      <c r="B1650" t="s">
        <v>22</v>
      </c>
      <c r="C1650" t="s">
        <v>22</v>
      </c>
      <c r="D1650" t="s">
        <v>12</v>
      </c>
      <c r="E1650" t="s">
        <v>66</v>
      </c>
      <c r="F1650" t="s">
        <v>13</v>
      </c>
      <c r="G1650" s="15">
        <v>200</v>
      </c>
      <c r="H1650" t="s">
        <v>25</v>
      </c>
      <c r="I1650">
        <v>1</v>
      </c>
      <c r="J1650" t="s">
        <v>47</v>
      </c>
      <c r="K1650" t="s">
        <v>45</v>
      </c>
      <c r="L1650" t="s">
        <v>45</v>
      </c>
      <c r="M1650" t="s">
        <v>68</v>
      </c>
      <c r="N1650" s="15">
        <v>168.34</v>
      </c>
      <c r="O1650" s="16">
        <v>18.8</v>
      </c>
      <c r="P1650">
        <v>1</v>
      </c>
    </row>
    <row r="1651" spans="1:16" x14ac:dyDescent="0.3">
      <c r="A1651" t="s">
        <v>57</v>
      </c>
      <c r="B1651" t="s">
        <v>22</v>
      </c>
      <c r="C1651" t="s">
        <v>22</v>
      </c>
      <c r="D1651" t="s">
        <v>8</v>
      </c>
      <c r="E1651" t="s">
        <v>73</v>
      </c>
      <c r="F1651" t="s">
        <v>9</v>
      </c>
      <c r="G1651" s="15">
        <v>68.92</v>
      </c>
      <c r="H1651" t="s">
        <v>26</v>
      </c>
      <c r="I1651">
        <v>2</v>
      </c>
      <c r="J1651" t="s">
        <v>47</v>
      </c>
      <c r="K1651" t="s">
        <v>46</v>
      </c>
      <c r="L1651" t="s">
        <v>45</v>
      </c>
      <c r="M1651" t="s">
        <v>61</v>
      </c>
      <c r="N1651" s="15">
        <v>86.06</v>
      </c>
      <c r="O1651" s="16">
        <v>-19.899999999999999</v>
      </c>
      <c r="P1651">
        <v>0</v>
      </c>
    </row>
    <row r="1652" spans="1:16" x14ac:dyDescent="0.3">
      <c r="A1652" t="s">
        <v>57</v>
      </c>
      <c r="B1652" t="s">
        <v>22</v>
      </c>
      <c r="C1652" t="s">
        <v>22</v>
      </c>
      <c r="D1652" t="s">
        <v>11</v>
      </c>
      <c r="E1652" t="s">
        <v>70</v>
      </c>
      <c r="F1652" t="s">
        <v>9</v>
      </c>
      <c r="G1652" s="15">
        <v>34.03</v>
      </c>
      <c r="H1652" t="s">
        <v>26</v>
      </c>
      <c r="I1652">
        <v>2</v>
      </c>
      <c r="J1652" t="s">
        <v>47</v>
      </c>
      <c r="K1652" t="s">
        <v>46</v>
      </c>
      <c r="L1652" t="s">
        <v>45</v>
      </c>
      <c r="M1652" t="s">
        <v>67</v>
      </c>
      <c r="N1652" s="15">
        <v>30.5</v>
      </c>
      <c r="O1652" s="16">
        <v>11.6</v>
      </c>
      <c r="P1652">
        <v>0</v>
      </c>
    </row>
    <row r="1653" spans="1:16" x14ac:dyDescent="0.3">
      <c r="A1653" t="s">
        <v>65</v>
      </c>
      <c r="B1653" t="s">
        <v>21</v>
      </c>
      <c r="C1653" t="s">
        <v>62</v>
      </c>
      <c r="D1653" t="s">
        <v>12</v>
      </c>
      <c r="E1653" t="s">
        <v>80</v>
      </c>
      <c r="F1653" t="s">
        <v>13</v>
      </c>
      <c r="G1653" s="15">
        <v>152.80000000000001</v>
      </c>
      <c r="H1653" t="s">
        <v>27</v>
      </c>
      <c r="I1653">
        <v>3</v>
      </c>
      <c r="J1653" t="s">
        <v>48</v>
      </c>
      <c r="K1653" t="s">
        <v>45</v>
      </c>
      <c r="L1653" t="s">
        <v>45</v>
      </c>
      <c r="M1653" t="s">
        <v>67</v>
      </c>
      <c r="N1653" s="15">
        <v>176.57</v>
      </c>
      <c r="O1653" s="16">
        <v>-13.5</v>
      </c>
      <c r="P1653">
        <v>0</v>
      </c>
    </row>
    <row r="1654" spans="1:16" x14ac:dyDescent="0.3">
      <c r="A1654" t="s">
        <v>65</v>
      </c>
      <c r="B1654" t="s">
        <v>21</v>
      </c>
      <c r="C1654" t="s">
        <v>62</v>
      </c>
      <c r="D1654" t="s">
        <v>10</v>
      </c>
      <c r="E1654" t="s">
        <v>69</v>
      </c>
      <c r="F1654" t="s">
        <v>9</v>
      </c>
      <c r="G1654" s="15">
        <v>138.04</v>
      </c>
      <c r="H1654" t="s">
        <v>26</v>
      </c>
      <c r="I1654">
        <v>2</v>
      </c>
      <c r="J1654" t="s">
        <v>47</v>
      </c>
      <c r="K1654" t="s">
        <v>46</v>
      </c>
      <c r="L1654" t="s">
        <v>45</v>
      </c>
      <c r="M1654" t="s">
        <v>64</v>
      </c>
      <c r="N1654" s="15">
        <v>158.91999999999999</v>
      </c>
      <c r="O1654" s="16">
        <v>-13.1</v>
      </c>
      <c r="P1654">
        <v>0</v>
      </c>
    </row>
    <row r="1655" spans="1:16" x14ac:dyDescent="0.3">
      <c r="A1655" t="s">
        <v>57</v>
      </c>
      <c r="B1655" t="s">
        <v>17</v>
      </c>
      <c r="C1655" t="s">
        <v>17</v>
      </c>
      <c r="D1655" t="s">
        <v>15</v>
      </c>
      <c r="E1655" t="s">
        <v>76</v>
      </c>
      <c r="F1655" t="s">
        <v>9</v>
      </c>
      <c r="G1655" s="15">
        <v>118.63</v>
      </c>
      <c r="H1655" t="s">
        <v>26</v>
      </c>
      <c r="I1655">
        <v>2</v>
      </c>
      <c r="J1655" t="s">
        <v>48</v>
      </c>
      <c r="K1655" t="s">
        <v>45</v>
      </c>
      <c r="L1655" t="s">
        <v>45</v>
      </c>
      <c r="M1655" t="s">
        <v>61</v>
      </c>
      <c r="N1655" s="15">
        <v>118.59</v>
      </c>
      <c r="O1655" s="16">
        <v>0</v>
      </c>
      <c r="P1655">
        <v>0</v>
      </c>
    </row>
    <row r="1656" spans="1:16" x14ac:dyDescent="0.3">
      <c r="A1656" t="s">
        <v>65</v>
      </c>
      <c r="B1656" t="s">
        <v>19</v>
      </c>
      <c r="C1656" t="s">
        <v>19</v>
      </c>
      <c r="D1656" t="s">
        <v>8</v>
      </c>
      <c r="E1656" t="s">
        <v>73</v>
      </c>
      <c r="F1656" t="s">
        <v>9</v>
      </c>
      <c r="G1656" s="15">
        <v>91.77</v>
      </c>
      <c r="H1656" t="s">
        <v>26</v>
      </c>
      <c r="I1656">
        <v>2</v>
      </c>
      <c r="J1656" t="s">
        <v>47</v>
      </c>
      <c r="K1656" t="s">
        <v>45</v>
      </c>
      <c r="L1656" t="s">
        <v>45</v>
      </c>
      <c r="M1656" t="s">
        <v>67</v>
      </c>
      <c r="N1656" s="15">
        <v>88.05</v>
      </c>
      <c r="O1656" s="16">
        <v>4.2</v>
      </c>
      <c r="P1656">
        <v>0</v>
      </c>
    </row>
    <row r="1657" spans="1:16" x14ac:dyDescent="0.3">
      <c r="A1657" t="s">
        <v>57</v>
      </c>
      <c r="B1657" t="s">
        <v>21</v>
      </c>
      <c r="C1657" t="s">
        <v>62</v>
      </c>
      <c r="D1657" t="s">
        <v>14</v>
      </c>
      <c r="E1657" t="s">
        <v>63</v>
      </c>
      <c r="F1657" t="s">
        <v>9</v>
      </c>
      <c r="G1657" s="15">
        <v>58.44</v>
      </c>
      <c r="H1657" t="s">
        <v>26</v>
      </c>
      <c r="I1657">
        <v>2</v>
      </c>
      <c r="J1657" t="s">
        <v>47</v>
      </c>
      <c r="K1657" t="s">
        <v>46</v>
      </c>
      <c r="L1657" t="s">
        <v>45</v>
      </c>
      <c r="M1657" t="s">
        <v>64</v>
      </c>
      <c r="N1657" s="15">
        <v>65.16</v>
      </c>
      <c r="O1657" s="16">
        <v>-10.3</v>
      </c>
      <c r="P1657">
        <v>0</v>
      </c>
    </row>
    <row r="1658" spans="1:16" x14ac:dyDescent="0.3">
      <c r="A1658" t="s">
        <v>57</v>
      </c>
      <c r="B1658" t="s">
        <v>19</v>
      </c>
      <c r="C1658" t="s">
        <v>19</v>
      </c>
      <c r="D1658" t="s">
        <v>11</v>
      </c>
      <c r="E1658" t="s">
        <v>70</v>
      </c>
      <c r="F1658" t="s">
        <v>9</v>
      </c>
      <c r="G1658" s="15">
        <v>26.33</v>
      </c>
      <c r="H1658" t="s">
        <v>27</v>
      </c>
      <c r="I1658">
        <v>3</v>
      </c>
      <c r="J1658" t="s">
        <v>48</v>
      </c>
      <c r="K1658" t="s">
        <v>46</v>
      </c>
      <c r="L1658" t="s">
        <v>45</v>
      </c>
      <c r="M1658" t="s">
        <v>59</v>
      </c>
      <c r="N1658" s="15">
        <v>30.5</v>
      </c>
      <c r="O1658" s="16">
        <v>-13.7</v>
      </c>
      <c r="P1658">
        <v>0</v>
      </c>
    </row>
    <row r="1659" spans="1:16" x14ac:dyDescent="0.3">
      <c r="A1659" t="s">
        <v>65</v>
      </c>
      <c r="B1659" t="s">
        <v>20</v>
      </c>
      <c r="C1659" t="s">
        <v>20</v>
      </c>
      <c r="D1659" t="s">
        <v>15</v>
      </c>
      <c r="E1659" t="s">
        <v>76</v>
      </c>
      <c r="F1659" t="s">
        <v>9</v>
      </c>
      <c r="G1659" s="15">
        <v>121.44</v>
      </c>
      <c r="H1659" t="s">
        <v>27</v>
      </c>
      <c r="I1659">
        <v>3</v>
      </c>
      <c r="J1659" t="s">
        <v>48</v>
      </c>
      <c r="K1659" t="s">
        <v>45</v>
      </c>
      <c r="L1659" t="s">
        <v>45</v>
      </c>
      <c r="M1659" t="s">
        <v>67</v>
      </c>
      <c r="N1659" s="15">
        <v>126.51</v>
      </c>
      <c r="O1659" s="16">
        <v>-4</v>
      </c>
      <c r="P1659">
        <v>0</v>
      </c>
    </row>
    <row r="1660" spans="1:16" x14ac:dyDescent="0.3">
      <c r="A1660" t="s">
        <v>65</v>
      </c>
      <c r="B1660" t="s">
        <v>21</v>
      </c>
      <c r="C1660" t="s">
        <v>62</v>
      </c>
      <c r="D1660" t="s">
        <v>10</v>
      </c>
      <c r="E1660" t="s">
        <v>69</v>
      </c>
      <c r="F1660" t="s">
        <v>9</v>
      </c>
      <c r="G1660" s="15">
        <v>148.87</v>
      </c>
      <c r="H1660" t="s">
        <v>26</v>
      </c>
      <c r="I1660">
        <v>2</v>
      </c>
      <c r="J1660" t="s">
        <v>48</v>
      </c>
      <c r="K1660" t="s">
        <v>46</v>
      </c>
      <c r="L1660" t="s">
        <v>45</v>
      </c>
      <c r="M1660" t="s">
        <v>72</v>
      </c>
      <c r="N1660" s="15">
        <v>158.91999999999999</v>
      </c>
      <c r="O1660" s="16">
        <v>-6.3</v>
      </c>
      <c r="P1660">
        <v>0</v>
      </c>
    </row>
    <row r="1661" spans="1:16" x14ac:dyDescent="0.3">
      <c r="A1661" t="s">
        <v>65</v>
      </c>
      <c r="B1661" t="s">
        <v>18</v>
      </c>
      <c r="C1661" t="s">
        <v>18</v>
      </c>
      <c r="D1661" t="s">
        <v>11</v>
      </c>
      <c r="E1661" t="s">
        <v>79</v>
      </c>
      <c r="F1661" t="s">
        <v>9</v>
      </c>
      <c r="G1661" s="15">
        <v>31.76</v>
      </c>
      <c r="H1661" t="s">
        <v>25</v>
      </c>
      <c r="I1661">
        <v>1</v>
      </c>
      <c r="J1661" t="s">
        <v>47</v>
      </c>
      <c r="K1661" t="s">
        <v>46</v>
      </c>
      <c r="L1661" t="s">
        <v>45</v>
      </c>
      <c r="M1661" t="s">
        <v>68</v>
      </c>
      <c r="N1661" s="15">
        <v>33.39</v>
      </c>
      <c r="O1661" s="16">
        <v>-4.9000000000000004</v>
      </c>
      <c r="P1661">
        <v>0</v>
      </c>
    </row>
    <row r="1662" spans="1:16" x14ac:dyDescent="0.3">
      <c r="A1662" t="s">
        <v>60</v>
      </c>
      <c r="B1662" t="s">
        <v>18</v>
      </c>
      <c r="C1662" t="s">
        <v>18</v>
      </c>
      <c r="D1662" t="s">
        <v>14</v>
      </c>
      <c r="E1662" t="s">
        <v>77</v>
      </c>
      <c r="F1662" t="s">
        <v>9</v>
      </c>
      <c r="G1662" s="15">
        <v>68.05</v>
      </c>
      <c r="H1662" t="s">
        <v>26</v>
      </c>
      <c r="I1662">
        <v>2</v>
      </c>
      <c r="J1662" t="s">
        <v>47</v>
      </c>
      <c r="K1662" t="s">
        <v>45</v>
      </c>
      <c r="L1662" t="s">
        <v>45</v>
      </c>
      <c r="M1662" t="s">
        <v>67</v>
      </c>
      <c r="N1662" s="15">
        <v>67.13</v>
      </c>
      <c r="O1662" s="16">
        <v>1.4</v>
      </c>
      <c r="P1662">
        <v>0</v>
      </c>
    </row>
    <row r="1663" spans="1:16" x14ac:dyDescent="0.3">
      <c r="A1663" t="s">
        <v>60</v>
      </c>
      <c r="B1663" t="s">
        <v>19</v>
      </c>
      <c r="C1663" t="s">
        <v>19</v>
      </c>
      <c r="D1663" t="s">
        <v>15</v>
      </c>
      <c r="E1663" t="s">
        <v>76</v>
      </c>
      <c r="F1663" t="s">
        <v>9</v>
      </c>
      <c r="G1663" s="15">
        <v>127.55</v>
      </c>
      <c r="H1663" t="s">
        <v>25</v>
      </c>
      <c r="I1663">
        <v>1</v>
      </c>
      <c r="J1663" t="s">
        <v>48</v>
      </c>
      <c r="K1663" t="s">
        <v>45</v>
      </c>
      <c r="L1663" t="s">
        <v>45</v>
      </c>
      <c r="M1663" t="s">
        <v>67</v>
      </c>
      <c r="N1663" s="15">
        <v>116.32</v>
      </c>
      <c r="O1663" s="16">
        <v>9.6999999999999993</v>
      </c>
      <c r="P1663">
        <v>0</v>
      </c>
    </row>
    <row r="1664" spans="1:16" x14ac:dyDescent="0.3">
      <c r="A1664" t="s">
        <v>60</v>
      </c>
      <c r="B1664" t="s">
        <v>21</v>
      </c>
      <c r="C1664" t="s">
        <v>62</v>
      </c>
      <c r="D1664" t="s">
        <v>11</v>
      </c>
      <c r="E1664" t="s">
        <v>70</v>
      </c>
      <c r="F1664" t="s">
        <v>9</v>
      </c>
      <c r="G1664" s="15">
        <v>35.08</v>
      </c>
      <c r="H1664" t="s">
        <v>26</v>
      </c>
      <c r="I1664">
        <v>2</v>
      </c>
      <c r="J1664" t="s">
        <v>48</v>
      </c>
      <c r="K1664" t="s">
        <v>45</v>
      </c>
      <c r="L1664" t="s">
        <v>46</v>
      </c>
      <c r="M1664" t="s">
        <v>72</v>
      </c>
      <c r="N1664" s="15">
        <v>31.4</v>
      </c>
      <c r="O1664" s="16">
        <v>11.7</v>
      </c>
      <c r="P1664">
        <v>0</v>
      </c>
    </row>
    <row r="1665" spans="1:16" x14ac:dyDescent="0.3">
      <c r="A1665" t="s">
        <v>65</v>
      </c>
      <c r="B1665" t="s">
        <v>19</v>
      </c>
      <c r="C1665" t="s">
        <v>19</v>
      </c>
      <c r="D1665" t="s">
        <v>14</v>
      </c>
      <c r="E1665" t="s">
        <v>71</v>
      </c>
      <c r="F1665" t="s">
        <v>9</v>
      </c>
      <c r="G1665" s="15">
        <v>80</v>
      </c>
      <c r="H1665" t="s">
        <v>25</v>
      </c>
      <c r="I1665">
        <v>1</v>
      </c>
      <c r="J1665" t="s">
        <v>47</v>
      </c>
      <c r="K1665" t="s">
        <v>45</v>
      </c>
      <c r="L1665" t="s">
        <v>46</v>
      </c>
      <c r="M1665" t="s">
        <v>78</v>
      </c>
      <c r="N1665" s="15">
        <v>71.77</v>
      </c>
      <c r="O1665" s="16">
        <v>11.5</v>
      </c>
      <c r="P1665">
        <v>0</v>
      </c>
    </row>
    <row r="1666" spans="1:16" x14ac:dyDescent="0.3">
      <c r="A1666" t="s">
        <v>60</v>
      </c>
      <c r="B1666" t="s">
        <v>19</v>
      </c>
      <c r="C1666" t="s">
        <v>19</v>
      </c>
      <c r="D1666" t="s">
        <v>11</v>
      </c>
      <c r="E1666" t="s">
        <v>70</v>
      </c>
      <c r="F1666" t="s">
        <v>9</v>
      </c>
      <c r="G1666" s="15">
        <v>34.01</v>
      </c>
      <c r="H1666" t="s">
        <v>27</v>
      </c>
      <c r="I1666">
        <v>3</v>
      </c>
      <c r="J1666" t="s">
        <v>48</v>
      </c>
      <c r="K1666" t="s">
        <v>46</v>
      </c>
      <c r="L1666" t="s">
        <v>45</v>
      </c>
      <c r="M1666" t="s">
        <v>67</v>
      </c>
      <c r="N1666" s="15">
        <v>31.4</v>
      </c>
      <c r="O1666" s="16">
        <v>8.3000000000000007</v>
      </c>
      <c r="P1666">
        <v>0</v>
      </c>
    </row>
    <row r="1667" spans="1:16" x14ac:dyDescent="0.3">
      <c r="A1667" t="s">
        <v>60</v>
      </c>
      <c r="B1667" t="s">
        <v>17</v>
      </c>
      <c r="C1667" t="s">
        <v>17</v>
      </c>
      <c r="D1667" t="s">
        <v>8</v>
      </c>
      <c r="E1667" t="s">
        <v>74</v>
      </c>
      <c r="F1667" t="s">
        <v>9</v>
      </c>
      <c r="G1667" s="15">
        <v>87.34</v>
      </c>
      <c r="H1667" t="s">
        <v>27</v>
      </c>
      <c r="I1667">
        <v>3</v>
      </c>
      <c r="J1667" t="s">
        <v>48</v>
      </c>
      <c r="K1667" t="s">
        <v>45</v>
      </c>
      <c r="L1667" t="s">
        <v>45</v>
      </c>
      <c r="M1667" t="s">
        <v>59</v>
      </c>
      <c r="N1667" s="15">
        <v>78.260000000000005</v>
      </c>
      <c r="O1667" s="16">
        <v>11.6</v>
      </c>
      <c r="P1667">
        <v>0</v>
      </c>
    </row>
    <row r="1668" spans="1:16" x14ac:dyDescent="0.3">
      <c r="A1668" t="s">
        <v>65</v>
      </c>
      <c r="B1668" t="s">
        <v>17</v>
      </c>
      <c r="C1668" t="s">
        <v>17</v>
      </c>
      <c r="D1668" t="s">
        <v>15</v>
      </c>
      <c r="E1668" t="s">
        <v>75</v>
      </c>
      <c r="F1668" t="s">
        <v>9</v>
      </c>
      <c r="G1668" s="15">
        <v>140</v>
      </c>
      <c r="H1668" t="s">
        <v>26</v>
      </c>
      <c r="I1668">
        <v>2</v>
      </c>
      <c r="J1668" t="s">
        <v>47</v>
      </c>
      <c r="K1668" t="s">
        <v>45</v>
      </c>
      <c r="L1668" t="s">
        <v>46</v>
      </c>
      <c r="M1668" t="s">
        <v>64</v>
      </c>
      <c r="N1668" s="15">
        <v>126.9</v>
      </c>
      <c r="O1668" s="16">
        <v>10.3</v>
      </c>
      <c r="P1668">
        <v>0</v>
      </c>
    </row>
    <row r="1669" spans="1:16" x14ac:dyDescent="0.3">
      <c r="A1669" t="s">
        <v>65</v>
      </c>
      <c r="B1669" t="s">
        <v>21</v>
      </c>
      <c r="C1669" t="s">
        <v>62</v>
      </c>
      <c r="D1669" t="s">
        <v>8</v>
      </c>
      <c r="E1669" t="s">
        <v>74</v>
      </c>
      <c r="F1669" t="s">
        <v>9</v>
      </c>
      <c r="G1669" s="15">
        <v>104.9</v>
      </c>
      <c r="H1669" t="s">
        <v>27</v>
      </c>
      <c r="I1669">
        <v>3</v>
      </c>
      <c r="J1669" t="s">
        <v>48</v>
      </c>
      <c r="K1669" t="s">
        <v>45</v>
      </c>
      <c r="L1669" t="s">
        <v>45</v>
      </c>
      <c r="M1669" t="s">
        <v>72</v>
      </c>
      <c r="N1669" s="15">
        <v>91.13</v>
      </c>
      <c r="O1669" s="16">
        <v>15.1</v>
      </c>
      <c r="P1669">
        <v>1</v>
      </c>
    </row>
    <row r="1670" spans="1:16" x14ac:dyDescent="0.3">
      <c r="A1670" t="s">
        <v>65</v>
      </c>
      <c r="B1670" t="s">
        <v>19</v>
      </c>
      <c r="C1670" t="s">
        <v>19</v>
      </c>
      <c r="D1670" t="s">
        <v>11</v>
      </c>
      <c r="E1670" t="s">
        <v>70</v>
      </c>
      <c r="F1670" t="s">
        <v>9</v>
      </c>
      <c r="G1670" s="15">
        <v>33.03</v>
      </c>
      <c r="H1670" t="s">
        <v>26</v>
      </c>
      <c r="I1670">
        <v>2</v>
      </c>
      <c r="J1670" t="s">
        <v>47</v>
      </c>
      <c r="K1670" t="s">
        <v>45</v>
      </c>
      <c r="L1670" t="s">
        <v>45</v>
      </c>
      <c r="M1670" t="s">
        <v>78</v>
      </c>
      <c r="N1670" s="15">
        <v>32.630000000000003</v>
      </c>
      <c r="O1670" s="16">
        <v>1.2</v>
      </c>
      <c r="P1670">
        <v>0</v>
      </c>
    </row>
    <row r="1671" spans="1:16" x14ac:dyDescent="0.3">
      <c r="A1671" t="s">
        <v>57</v>
      </c>
      <c r="B1671" t="s">
        <v>19</v>
      </c>
      <c r="C1671" t="s">
        <v>19</v>
      </c>
      <c r="D1671" t="s">
        <v>10</v>
      </c>
      <c r="E1671" t="s">
        <v>69</v>
      </c>
      <c r="F1671" t="s">
        <v>9</v>
      </c>
      <c r="G1671" s="15">
        <v>137.74</v>
      </c>
      <c r="H1671" t="s">
        <v>27</v>
      </c>
      <c r="I1671">
        <v>3</v>
      </c>
      <c r="J1671" t="s">
        <v>48</v>
      </c>
      <c r="K1671" t="s">
        <v>46</v>
      </c>
      <c r="L1671" t="s">
        <v>46</v>
      </c>
      <c r="M1671" t="s">
        <v>68</v>
      </c>
      <c r="N1671" s="15">
        <v>150.38999999999999</v>
      </c>
      <c r="O1671" s="16">
        <v>-8.4</v>
      </c>
      <c r="P1671">
        <v>0</v>
      </c>
    </row>
    <row r="1672" spans="1:16" x14ac:dyDescent="0.3">
      <c r="A1672" t="s">
        <v>60</v>
      </c>
      <c r="B1672" t="s">
        <v>17</v>
      </c>
      <c r="C1672" t="s">
        <v>17</v>
      </c>
      <c r="D1672" t="s">
        <v>11</v>
      </c>
      <c r="E1672" t="s">
        <v>79</v>
      </c>
      <c r="F1672" t="s">
        <v>9</v>
      </c>
      <c r="G1672" s="15">
        <v>36.75</v>
      </c>
      <c r="H1672" t="s">
        <v>26</v>
      </c>
      <c r="I1672">
        <v>2</v>
      </c>
      <c r="J1672" t="s">
        <v>48</v>
      </c>
      <c r="K1672" t="s">
        <v>45</v>
      </c>
      <c r="L1672" t="s">
        <v>45</v>
      </c>
      <c r="M1672" t="s">
        <v>78</v>
      </c>
      <c r="N1672" s="15">
        <v>29.14</v>
      </c>
      <c r="O1672" s="16">
        <v>26.1</v>
      </c>
      <c r="P1672">
        <v>1</v>
      </c>
    </row>
    <row r="1673" spans="1:16" x14ac:dyDescent="0.3">
      <c r="A1673" t="s">
        <v>65</v>
      </c>
      <c r="B1673" t="s">
        <v>21</v>
      </c>
      <c r="C1673" t="s">
        <v>62</v>
      </c>
      <c r="D1673" t="s">
        <v>11</v>
      </c>
      <c r="E1673" t="s">
        <v>70</v>
      </c>
      <c r="F1673" t="s">
        <v>9</v>
      </c>
      <c r="G1673" s="15">
        <v>24.08</v>
      </c>
      <c r="H1673" t="s">
        <v>25</v>
      </c>
      <c r="I1673">
        <v>1</v>
      </c>
      <c r="J1673" t="s">
        <v>47</v>
      </c>
      <c r="K1673" t="s">
        <v>46</v>
      </c>
      <c r="L1673" t="s">
        <v>46</v>
      </c>
      <c r="M1673" t="s">
        <v>64</v>
      </c>
      <c r="N1673" s="15">
        <v>32.630000000000003</v>
      </c>
      <c r="O1673" s="16">
        <v>-26.2</v>
      </c>
      <c r="P1673">
        <v>0</v>
      </c>
    </row>
    <row r="1674" spans="1:16" x14ac:dyDescent="0.3">
      <c r="A1674" t="s">
        <v>65</v>
      </c>
      <c r="B1674" t="s">
        <v>21</v>
      </c>
      <c r="C1674" t="s">
        <v>62</v>
      </c>
      <c r="D1674" t="s">
        <v>8</v>
      </c>
      <c r="E1674" t="s">
        <v>73</v>
      </c>
      <c r="F1674" t="s">
        <v>9</v>
      </c>
      <c r="G1674" s="15">
        <v>82.05</v>
      </c>
      <c r="H1674" t="s">
        <v>26</v>
      </c>
      <c r="I1674">
        <v>2</v>
      </c>
      <c r="J1674" t="s">
        <v>47</v>
      </c>
      <c r="K1674" t="s">
        <v>46</v>
      </c>
      <c r="L1674" t="s">
        <v>46</v>
      </c>
      <c r="M1674" t="s">
        <v>68</v>
      </c>
      <c r="N1674" s="15">
        <v>88.05</v>
      </c>
      <c r="O1674" s="16">
        <v>-6.8</v>
      </c>
      <c r="P1674">
        <v>0</v>
      </c>
    </row>
    <row r="1675" spans="1:16" x14ac:dyDescent="0.3">
      <c r="A1675" t="s">
        <v>65</v>
      </c>
      <c r="B1675" t="s">
        <v>22</v>
      </c>
      <c r="C1675" t="s">
        <v>22</v>
      </c>
      <c r="D1675" t="s">
        <v>15</v>
      </c>
      <c r="E1675" t="s">
        <v>75</v>
      </c>
      <c r="F1675" t="s">
        <v>9</v>
      </c>
      <c r="G1675" s="15">
        <v>109.47</v>
      </c>
      <c r="H1675" t="s">
        <v>26</v>
      </c>
      <c r="I1675">
        <v>2</v>
      </c>
      <c r="J1675" t="s">
        <v>47</v>
      </c>
      <c r="K1675" t="s">
        <v>45</v>
      </c>
      <c r="L1675" t="s">
        <v>45</v>
      </c>
      <c r="M1675" t="s">
        <v>61</v>
      </c>
      <c r="N1675" s="15">
        <v>126.9</v>
      </c>
      <c r="O1675" s="16">
        <v>-13.7</v>
      </c>
      <c r="P1675">
        <v>0</v>
      </c>
    </row>
    <row r="1676" spans="1:16" x14ac:dyDescent="0.3">
      <c r="A1676" t="s">
        <v>65</v>
      </c>
      <c r="B1676" t="s">
        <v>18</v>
      </c>
      <c r="C1676" t="s">
        <v>18</v>
      </c>
      <c r="D1676" t="s">
        <v>14</v>
      </c>
      <c r="E1676" t="s">
        <v>63</v>
      </c>
      <c r="F1676" t="s">
        <v>9</v>
      </c>
      <c r="G1676" s="15">
        <v>65.66</v>
      </c>
      <c r="H1676" t="s">
        <v>26</v>
      </c>
      <c r="I1676">
        <v>2</v>
      </c>
      <c r="J1676" t="s">
        <v>47</v>
      </c>
      <c r="K1676" t="s">
        <v>46</v>
      </c>
      <c r="L1676" t="s">
        <v>45</v>
      </c>
      <c r="M1676" t="s">
        <v>68</v>
      </c>
      <c r="N1676" s="15">
        <v>68.150000000000006</v>
      </c>
      <c r="O1676" s="16">
        <v>-3.7</v>
      </c>
      <c r="P1676">
        <v>0</v>
      </c>
    </row>
    <row r="1677" spans="1:16" x14ac:dyDescent="0.3">
      <c r="A1677" t="s">
        <v>60</v>
      </c>
      <c r="B1677" t="s">
        <v>21</v>
      </c>
      <c r="C1677" t="s">
        <v>62</v>
      </c>
      <c r="D1677" t="s">
        <v>14</v>
      </c>
      <c r="E1677" t="s">
        <v>77</v>
      </c>
      <c r="F1677" t="s">
        <v>9</v>
      </c>
      <c r="G1677" s="15">
        <v>56.52</v>
      </c>
      <c r="H1677" t="s">
        <v>26</v>
      </c>
      <c r="I1677">
        <v>2</v>
      </c>
      <c r="J1677" t="s">
        <v>48</v>
      </c>
      <c r="K1677" t="s">
        <v>46</v>
      </c>
      <c r="L1677" t="s">
        <v>45</v>
      </c>
      <c r="M1677" t="s">
        <v>68</v>
      </c>
      <c r="N1677" s="15">
        <v>67.13</v>
      </c>
      <c r="O1677" s="16">
        <v>-15.8</v>
      </c>
      <c r="P1677">
        <v>0</v>
      </c>
    </row>
    <row r="1678" spans="1:16" x14ac:dyDescent="0.3">
      <c r="A1678" t="s">
        <v>60</v>
      </c>
      <c r="B1678" t="s">
        <v>22</v>
      </c>
      <c r="C1678" t="s">
        <v>22</v>
      </c>
      <c r="D1678" t="s">
        <v>14</v>
      </c>
      <c r="E1678" t="s">
        <v>77</v>
      </c>
      <c r="F1678" t="s">
        <v>9</v>
      </c>
      <c r="G1678" s="15">
        <v>67.31</v>
      </c>
      <c r="H1678" t="s">
        <v>26</v>
      </c>
      <c r="I1678">
        <v>2</v>
      </c>
      <c r="J1678" t="s">
        <v>48</v>
      </c>
      <c r="K1678" t="s">
        <v>46</v>
      </c>
      <c r="L1678" t="s">
        <v>45</v>
      </c>
      <c r="M1678" t="s">
        <v>64</v>
      </c>
      <c r="N1678" s="15">
        <v>67.13</v>
      </c>
      <c r="O1678" s="16">
        <v>0.3</v>
      </c>
      <c r="P1678">
        <v>0</v>
      </c>
    </row>
    <row r="1679" spans="1:16" x14ac:dyDescent="0.3">
      <c r="A1679" t="s">
        <v>65</v>
      </c>
      <c r="B1679" t="s">
        <v>17</v>
      </c>
      <c r="C1679" t="s">
        <v>17</v>
      </c>
      <c r="D1679" t="s">
        <v>11</v>
      </c>
      <c r="E1679" t="s">
        <v>79</v>
      </c>
      <c r="F1679" t="s">
        <v>9</v>
      </c>
      <c r="G1679" s="15">
        <v>31.93</v>
      </c>
      <c r="H1679" t="s">
        <v>25</v>
      </c>
      <c r="I1679">
        <v>1</v>
      </c>
      <c r="J1679" t="s">
        <v>47</v>
      </c>
      <c r="K1679" t="s">
        <v>46</v>
      </c>
      <c r="L1679" t="s">
        <v>45</v>
      </c>
      <c r="M1679" t="s">
        <v>72</v>
      </c>
      <c r="N1679" s="15">
        <v>33.39</v>
      </c>
      <c r="O1679" s="16">
        <v>-4.4000000000000004</v>
      </c>
      <c r="P1679">
        <v>0</v>
      </c>
    </row>
    <row r="1680" spans="1:16" x14ac:dyDescent="0.3">
      <c r="A1680" t="s">
        <v>65</v>
      </c>
      <c r="B1680" t="s">
        <v>21</v>
      </c>
      <c r="C1680" t="s">
        <v>62</v>
      </c>
      <c r="D1680" t="s">
        <v>11</v>
      </c>
      <c r="E1680" t="s">
        <v>70</v>
      </c>
      <c r="F1680" t="s">
        <v>9</v>
      </c>
      <c r="G1680" s="15">
        <v>34.01</v>
      </c>
      <c r="H1680" t="s">
        <v>25</v>
      </c>
      <c r="I1680">
        <v>1</v>
      </c>
      <c r="J1680" t="s">
        <v>47</v>
      </c>
      <c r="K1680" t="s">
        <v>45</v>
      </c>
      <c r="L1680" t="s">
        <v>46</v>
      </c>
      <c r="M1680" t="s">
        <v>67</v>
      </c>
      <c r="N1680" s="15">
        <v>32.630000000000003</v>
      </c>
      <c r="O1680" s="16">
        <v>4.2</v>
      </c>
      <c r="P1680">
        <v>0</v>
      </c>
    </row>
    <row r="1681" spans="1:16" x14ac:dyDescent="0.3">
      <c r="A1681" t="s">
        <v>57</v>
      </c>
      <c r="B1681" t="s">
        <v>19</v>
      </c>
      <c r="C1681" t="s">
        <v>19</v>
      </c>
      <c r="D1681" t="s">
        <v>15</v>
      </c>
      <c r="E1681" t="s">
        <v>76</v>
      </c>
      <c r="F1681" t="s">
        <v>9</v>
      </c>
      <c r="G1681" s="15">
        <v>102.33</v>
      </c>
      <c r="H1681" t="s">
        <v>26</v>
      </c>
      <c r="I1681">
        <v>2</v>
      </c>
      <c r="J1681" t="s">
        <v>47</v>
      </c>
      <c r="K1681" t="s">
        <v>46</v>
      </c>
      <c r="L1681" t="s">
        <v>45</v>
      </c>
      <c r="M1681" t="s">
        <v>78</v>
      </c>
      <c r="N1681" s="15">
        <v>118.59</v>
      </c>
      <c r="O1681" s="16">
        <v>-13.7</v>
      </c>
      <c r="P1681">
        <v>0</v>
      </c>
    </row>
    <row r="1682" spans="1:16" x14ac:dyDescent="0.3">
      <c r="A1682" t="s">
        <v>65</v>
      </c>
      <c r="B1682" t="s">
        <v>18</v>
      </c>
      <c r="C1682" t="s">
        <v>18</v>
      </c>
      <c r="D1682" t="s">
        <v>15</v>
      </c>
      <c r="E1682" t="s">
        <v>75</v>
      </c>
      <c r="F1682" t="s">
        <v>9</v>
      </c>
      <c r="G1682" s="15">
        <v>116.8</v>
      </c>
      <c r="H1682" t="s">
        <v>27</v>
      </c>
      <c r="I1682">
        <v>3</v>
      </c>
      <c r="J1682" t="s">
        <v>47</v>
      </c>
      <c r="K1682" t="s">
        <v>45</v>
      </c>
      <c r="L1682" t="s">
        <v>45</v>
      </c>
      <c r="M1682" t="s">
        <v>64</v>
      </c>
      <c r="N1682" s="15">
        <v>126.9</v>
      </c>
      <c r="O1682" s="16">
        <v>-8</v>
      </c>
      <c r="P1682">
        <v>0</v>
      </c>
    </row>
    <row r="1683" spans="1:16" x14ac:dyDescent="0.3">
      <c r="A1683" t="s">
        <v>57</v>
      </c>
      <c r="B1683" t="s">
        <v>17</v>
      </c>
      <c r="C1683" t="s">
        <v>17</v>
      </c>
      <c r="D1683" t="s">
        <v>15</v>
      </c>
      <c r="E1683" t="s">
        <v>76</v>
      </c>
      <c r="F1683" t="s">
        <v>9</v>
      </c>
      <c r="G1683" s="15">
        <v>140</v>
      </c>
      <c r="H1683" t="s">
        <v>26</v>
      </c>
      <c r="I1683">
        <v>2</v>
      </c>
      <c r="J1683" t="s">
        <v>48</v>
      </c>
      <c r="K1683" t="s">
        <v>45</v>
      </c>
      <c r="L1683" t="s">
        <v>46</v>
      </c>
      <c r="M1683" t="s">
        <v>78</v>
      </c>
      <c r="N1683" s="15">
        <v>118.59</v>
      </c>
      <c r="O1683" s="16">
        <v>18.100000000000001</v>
      </c>
      <c r="P1683">
        <v>1</v>
      </c>
    </row>
    <row r="1684" spans="1:16" x14ac:dyDescent="0.3">
      <c r="A1684" t="s">
        <v>60</v>
      </c>
      <c r="B1684" t="s">
        <v>22</v>
      </c>
      <c r="C1684" t="s">
        <v>22</v>
      </c>
      <c r="D1684" t="s">
        <v>8</v>
      </c>
      <c r="E1684" t="s">
        <v>73</v>
      </c>
      <c r="F1684" t="s">
        <v>9</v>
      </c>
      <c r="G1684" s="15">
        <v>76.31</v>
      </c>
      <c r="H1684" t="s">
        <v>26</v>
      </c>
      <c r="I1684">
        <v>2</v>
      </c>
      <c r="J1684" t="s">
        <v>48</v>
      </c>
      <c r="K1684" t="s">
        <v>46</v>
      </c>
      <c r="L1684" t="s">
        <v>45</v>
      </c>
      <c r="M1684" t="s">
        <v>78</v>
      </c>
      <c r="N1684" s="15">
        <v>82.04</v>
      </c>
      <c r="O1684" s="16">
        <v>-7</v>
      </c>
      <c r="P1684">
        <v>0</v>
      </c>
    </row>
    <row r="1685" spans="1:16" x14ac:dyDescent="0.3">
      <c r="A1685" t="s">
        <v>65</v>
      </c>
      <c r="B1685" t="s">
        <v>19</v>
      </c>
      <c r="C1685" t="s">
        <v>19</v>
      </c>
      <c r="D1685" t="s">
        <v>12</v>
      </c>
      <c r="E1685" t="s">
        <v>66</v>
      </c>
      <c r="F1685" t="s">
        <v>13</v>
      </c>
      <c r="G1685" s="15">
        <v>156.96</v>
      </c>
      <c r="H1685" t="s">
        <v>27</v>
      </c>
      <c r="I1685">
        <v>3</v>
      </c>
      <c r="J1685" t="s">
        <v>48</v>
      </c>
      <c r="K1685" t="s">
        <v>45</v>
      </c>
      <c r="L1685" t="s">
        <v>45</v>
      </c>
      <c r="M1685" t="s">
        <v>78</v>
      </c>
      <c r="N1685" s="15">
        <v>178.49</v>
      </c>
      <c r="O1685" s="16">
        <v>-12.1</v>
      </c>
      <c r="P1685">
        <v>0</v>
      </c>
    </row>
    <row r="1686" spans="1:16" x14ac:dyDescent="0.3">
      <c r="A1686" t="s">
        <v>57</v>
      </c>
      <c r="B1686" t="s">
        <v>17</v>
      </c>
      <c r="C1686" t="s">
        <v>17</v>
      </c>
      <c r="D1686" t="s">
        <v>12</v>
      </c>
      <c r="E1686" t="s">
        <v>66</v>
      </c>
      <c r="F1686" t="s">
        <v>13</v>
      </c>
      <c r="G1686" s="15">
        <v>140.03</v>
      </c>
      <c r="H1686" t="s">
        <v>27</v>
      </c>
      <c r="I1686">
        <v>3</v>
      </c>
      <c r="J1686" t="s">
        <v>48</v>
      </c>
      <c r="K1686" t="s">
        <v>46</v>
      </c>
      <c r="L1686" t="s">
        <v>45</v>
      </c>
      <c r="M1686" t="s">
        <v>59</v>
      </c>
      <c r="N1686" s="15">
        <v>170.56</v>
      </c>
      <c r="O1686" s="16">
        <v>-17.899999999999999</v>
      </c>
      <c r="P1686">
        <v>0</v>
      </c>
    </row>
    <row r="1687" spans="1:16" x14ac:dyDescent="0.3">
      <c r="A1687" t="s">
        <v>57</v>
      </c>
      <c r="B1687" t="s">
        <v>18</v>
      </c>
      <c r="C1687" t="s">
        <v>18</v>
      </c>
      <c r="D1687" t="s">
        <v>12</v>
      </c>
      <c r="E1687" t="s">
        <v>66</v>
      </c>
      <c r="F1687" t="s">
        <v>13</v>
      </c>
      <c r="G1687" s="15">
        <v>183.23</v>
      </c>
      <c r="H1687" t="s">
        <v>26</v>
      </c>
      <c r="I1687">
        <v>2</v>
      </c>
      <c r="J1687" t="s">
        <v>47</v>
      </c>
      <c r="K1687" t="s">
        <v>45</v>
      </c>
      <c r="L1687" t="s">
        <v>46</v>
      </c>
      <c r="M1687" t="s">
        <v>61</v>
      </c>
      <c r="N1687" s="15">
        <v>170.56</v>
      </c>
      <c r="O1687" s="16">
        <v>7.4</v>
      </c>
      <c r="P1687">
        <v>0</v>
      </c>
    </row>
    <row r="1688" spans="1:16" x14ac:dyDescent="0.3">
      <c r="A1688" t="s">
        <v>57</v>
      </c>
      <c r="B1688" t="s">
        <v>18</v>
      </c>
      <c r="C1688" t="s">
        <v>18</v>
      </c>
      <c r="D1688" t="s">
        <v>8</v>
      </c>
      <c r="E1688" t="s">
        <v>73</v>
      </c>
      <c r="F1688" t="s">
        <v>9</v>
      </c>
      <c r="G1688" s="15">
        <v>106.27</v>
      </c>
      <c r="H1688" t="s">
        <v>26</v>
      </c>
      <c r="I1688">
        <v>2</v>
      </c>
      <c r="J1688" t="s">
        <v>47</v>
      </c>
      <c r="K1688" t="s">
        <v>46</v>
      </c>
      <c r="L1688" t="s">
        <v>45</v>
      </c>
      <c r="M1688" t="s">
        <v>67</v>
      </c>
      <c r="N1688" s="15">
        <v>86.06</v>
      </c>
      <c r="O1688" s="16">
        <v>23.5</v>
      </c>
      <c r="P1688">
        <v>1</v>
      </c>
    </row>
    <row r="1689" spans="1:16" x14ac:dyDescent="0.3">
      <c r="A1689" t="s">
        <v>65</v>
      </c>
      <c r="B1689" t="s">
        <v>20</v>
      </c>
      <c r="C1689" t="s">
        <v>20</v>
      </c>
      <c r="D1689" t="s">
        <v>14</v>
      </c>
      <c r="E1689" t="s">
        <v>63</v>
      </c>
      <c r="F1689" t="s">
        <v>9</v>
      </c>
      <c r="G1689" s="15">
        <v>76.98</v>
      </c>
      <c r="H1689" t="s">
        <v>26</v>
      </c>
      <c r="I1689">
        <v>2</v>
      </c>
      <c r="J1689" t="s">
        <v>44</v>
      </c>
      <c r="K1689" t="s">
        <v>45</v>
      </c>
      <c r="L1689" t="s">
        <v>45</v>
      </c>
      <c r="M1689" t="s">
        <v>64</v>
      </c>
      <c r="N1689" s="15">
        <v>68.150000000000006</v>
      </c>
      <c r="O1689" s="16">
        <v>13</v>
      </c>
      <c r="P1689">
        <v>0</v>
      </c>
    </row>
    <row r="1690" spans="1:16" x14ac:dyDescent="0.3">
      <c r="A1690" t="s">
        <v>60</v>
      </c>
      <c r="B1690" t="s">
        <v>21</v>
      </c>
      <c r="C1690" t="s">
        <v>62</v>
      </c>
      <c r="D1690" t="s">
        <v>8</v>
      </c>
      <c r="E1690" t="s">
        <v>74</v>
      </c>
      <c r="F1690" t="s">
        <v>9</v>
      </c>
      <c r="G1690" s="15">
        <v>93.45</v>
      </c>
      <c r="H1690" t="s">
        <v>25</v>
      </c>
      <c r="I1690">
        <v>1</v>
      </c>
      <c r="J1690" t="s">
        <v>48</v>
      </c>
      <c r="K1690" t="s">
        <v>46</v>
      </c>
      <c r="L1690" t="s">
        <v>45</v>
      </c>
      <c r="M1690" t="s">
        <v>72</v>
      </c>
      <c r="N1690" s="15">
        <v>78.260000000000005</v>
      </c>
      <c r="O1690" s="16">
        <v>19.399999999999999</v>
      </c>
      <c r="P1690">
        <v>1</v>
      </c>
    </row>
    <row r="1691" spans="1:16" x14ac:dyDescent="0.3">
      <c r="A1691" t="s">
        <v>60</v>
      </c>
      <c r="B1691" t="s">
        <v>21</v>
      </c>
      <c r="C1691" t="s">
        <v>62</v>
      </c>
      <c r="D1691" t="s">
        <v>11</v>
      </c>
      <c r="E1691" t="s">
        <v>79</v>
      </c>
      <c r="F1691" t="s">
        <v>9</v>
      </c>
      <c r="G1691" s="15">
        <v>26.61</v>
      </c>
      <c r="H1691" t="s">
        <v>26</v>
      </c>
      <c r="I1691">
        <v>2</v>
      </c>
      <c r="J1691" t="s">
        <v>47</v>
      </c>
      <c r="K1691" t="s">
        <v>46</v>
      </c>
      <c r="L1691" t="s">
        <v>45</v>
      </c>
      <c r="M1691" t="s">
        <v>59</v>
      </c>
      <c r="N1691" s="15">
        <v>29.14</v>
      </c>
      <c r="O1691" s="16">
        <v>-8.6999999999999993</v>
      </c>
      <c r="P1691">
        <v>0</v>
      </c>
    </row>
    <row r="1692" spans="1:16" x14ac:dyDescent="0.3">
      <c r="A1692" t="s">
        <v>65</v>
      </c>
      <c r="B1692" t="s">
        <v>18</v>
      </c>
      <c r="C1692" t="s">
        <v>18</v>
      </c>
      <c r="D1692" t="s">
        <v>12</v>
      </c>
      <c r="E1692" t="s">
        <v>66</v>
      </c>
      <c r="F1692" t="s">
        <v>13</v>
      </c>
      <c r="G1692" s="15">
        <v>170.84</v>
      </c>
      <c r="H1692" t="s">
        <v>26</v>
      </c>
      <c r="I1692">
        <v>2</v>
      </c>
      <c r="J1692" t="s">
        <v>47</v>
      </c>
      <c r="K1692" t="s">
        <v>45</v>
      </c>
      <c r="L1692" t="s">
        <v>45</v>
      </c>
      <c r="M1692" t="s">
        <v>61</v>
      </c>
      <c r="N1692" s="15">
        <v>178.49</v>
      </c>
      <c r="O1692" s="16">
        <v>-4.3</v>
      </c>
      <c r="P1692">
        <v>0</v>
      </c>
    </row>
    <row r="1693" spans="1:16" x14ac:dyDescent="0.3">
      <c r="A1693" t="s">
        <v>60</v>
      </c>
      <c r="B1693" t="s">
        <v>17</v>
      </c>
      <c r="C1693" t="s">
        <v>17</v>
      </c>
      <c r="D1693" t="s">
        <v>11</v>
      </c>
      <c r="E1693" t="s">
        <v>70</v>
      </c>
      <c r="F1693" t="s">
        <v>9</v>
      </c>
      <c r="G1693" s="15">
        <v>25.43</v>
      </c>
      <c r="H1693" t="s">
        <v>26</v>
      </c>
      <c r="I1693">
        <v>2</v>
      </c>
      <c r="J1693" t="s">
        <v>48</v>
      </c>
      <c r="K1693" t="s">
        <v>46</v>
      </c>
      <c r="L1693" t="s">
        <v>45</v>
      </c>
      <c r="M1693" t="s">
        <v>68</v>
      </c>
      <c r="N1693" s="15">
        <v>31.4</v>
      </c>
      <c r="O1693" s="16">
        <v>-19</v>
      </c>
      <c r="P1693">
        <v>0</v>
      </c>
    </row>
    <row r="1694" spans="1:16" x14ac:dyDescent="0.3">
      <c r="A1694" t="s">
        <v>65</v>
      </c>
      <c r="B1694" t="s">
        <v>22</v>
      </c>
      <c r="C1694" t="s">
        <v>22</v>
      </c>
      <c r="D1694" t="s">
        <v>8</v>
      </c>
      <c r="E1694" t="s">
        <v>74</v>
      </c>
      <c r="F1694" t="s">
        <v>9</v>
      </c>
      <c r="G1694" s="15">
        <v>71.23</v>
      </c>
      <c r="H1694" t="s">
        <v>26</v>
      </c>
      <c r="I1694">
        <v>2</v>
      </c>
      <c r="J1694" t="s">
        <v>48</v>
      </c>
      <c r="K1694" t="s">
        <v>46</v>
      </c>
      <c r="L1694" t="s">
        <v>45</v>
      </c>
      <c r="M1694" t="s">
        <v>64</v>
      </c>
      <c r="N1694" s="15">
        <v>91.13</v>
      </c>
      <c r="O1694" s="16">
        <v>-21.8</v>
      </c>
      <c r="P1694">
        <v>0</v>
      </c>
    </row>
    <row r="1695" spans="1:16" x14ac:dyDescent="0.3">
      <c r="A1695" t="s">
        <v>65</v>
      </c>
      <c r="B1695" t="s">
        <v>18</v>
      </c>
      <c r="C1695" t="s">
        <v>18</v>
      </c>
      <c r="D1695" t="s">
        <v>14</v>
      </c>
      <c r="E1695" t="s">
        <v>63</v>
      </c>
      <c r="F1695" t="s">
        <v>9</v>
      </c>
      <c r="G1695" s="15">
        <v>62.43</v>
      </c>
      <c r="H1695" t="s">
        <v>27</v>
      </c>
      <c r="I1695">
        <v>3</v>
      </c>
      <c r="J1695" t="s">
        <v>47</v>
      </c>
      <c r="K1695" t="s">
        <v>46</v>
      </c>
      <c r="L1695" t="s">
        <v>45</v>
      </c>
      <c r="M1695" t="s">
        <v>68</v>
      </c>
      <c r="N1695" s="15">
        <v>68.150000000000006</v>
      </c>
      <c r="O1695" s="16">
        <v>-8.4</v>
      </c>
      <c r="P1695">
        <v>0</v>
      </c>
    </row>
    <row r="1696" spans="1:16" x14ac:dyDescent="0.3">
      <c r="A1696" t="s">
        <v>65</v>
      </c>
      <c r="B1696" t="s">
        <v>17</v>
      </c>
      <c r="C1696" t="s">
        <v>17</v>
      </c>
      <c r="D1696" t="s">
        <v>15</v>
      </c>
      <c r="E1696" t="s">
        <v>75</v>
      </c>
      <c r="F1696" t="s">
        <v>9</v>
      </c>
      <c r="G1696" s="15">
        <v>124.57</v>
      </c>
      <c r="H1696" t="s">
        <v>26</v>
      </c>
      <c r="I1696">
        <v>2</v>
      </c>
      <c r="J1696" t="s">
        <v>47</v>
      </c>
      <c r="K1696" t="s">
        <v>45</v>
      </c>
      <c r="L1696" t="s">
        <v>46</v>
      </c>
      <c r="M1696" t="s">
        <v>59</v>
      </c>
      <c r="N1696" s="15">
        <v>126.9</v>
      </c>
      <c r="O1696" s="16">
        <v>-1.8</v>
      </c>
      <c r="P1696">
        <v>0</v>
      </c>
    </row>
    <row r="1697" spans="1:16" x14ac:dyDescent="0.3">
      <c r="A1697" t="s">
        <v>57</v>
      </c>
      <c r="B1697" t="s">
        <v>19</v>
      </c>
      <c r="C1697" t="s">
        <v>19</v>
      </c>
      <c r="D1697" t="s">
        <v>10</v>
      </c>
      <c r="E1697" t="s">
        <v>58</v>
      </c>
      <c r="F1697" t="s">
        <v>9</v>
      </c>
      <c r="G1697" s="15">
        <v>136.41999999999999</v>
      </c>
      <c r="H1697" t="s">
        <v>26</v>
      </c>
      <c r="I1697">
        <v>2</v>
      </c>
      <c r="J1697" t="s">
        <v>48</v>
      </c>
      <c r="K1697" t="s">
        <v>45</v>
      </c>
      <c r="L1697" t="s">
        <v>45</v>
      </c>
      <c r="M1697" t="s">
        <v>64</v>
      </c>
      <c r="N1697" s="15">
        <v>151.19</v>
      </c>
      <c r="O1697" s="16">
        <v>-9.8000000000000007</v>
      </c>
      <c r="P1697">
        <v>0</v>
      </c>
    </row>
    <row r="1698" spans="1:16" x14ac:dyDescent="0.3">
      <c r="A1698" t="s">
        <v>65</v>
      </c>
      <c r="B1698" t="s">
        <v>19</v>
      </c>
      <c r="C1698" t="s">
        <v>19</v>
      </c>
      <c r="D1698" t="s">
        <v>12</v>
      </c>
      <c r="E1698" t="s">
        <v>66</v>
      </c>
      <c r="F1698" t="s">
        <v>13</v>
      </c>
      <c r="G1698" s="15">
        <v>184.71</v>
      </c>
      <c r="H1698" t="s">
        <v>26</v>
      </c>
      <c r="I1698">
        <v>2</v>
      </c>
      <c r="J1698" t="s">
        <v>48</v>
      </c>
      <c r="K1698" t="s">
        <v>45</v>
      </c>
      <c r="L1698" t="s">
        <v>45</v>
      </c>
      <c r="M1698" t="s">
        <v>61</v>
      </c>
      <c r="N1698" s="15">
        <v>178.49</v>
      </c>
      <c r="O1698" s="16">
        <v>3.5</v>
      </c>
      <c r="P1698">
        <v>0</v>
      </c>
    </row>
    <row r="1699" spans="1:16" x14ac:dyDescent="0.3">
      <c r="A1699" t="s">
        <v>60</v>
      </c>
      <c r="B1699" t="s">
        <v>17</v>
      </c>
      <c r="C1699" t="s">
        <v>17</v>
      </c>
      <c r="D1699" t="s">
        <v>11</v>
      </c>
      <c r="E1699" t="s">
        <v>70</v>
      </c>
      <c r="F1699" t="s">
        <v>9</v>
      </c>
      <c r="G1699" s="15">
        <v>28.98</v>
      </c>
      <c r="H1699" t="s">
        <v>26</v>
      </c>
      <c r="I1699">
        <v>2</v>
      </c>
      <c r="J1699" t="s">
        <v>48</v>
      </c>
      <c r="K1699" t="s">
        <v>45</v>
      </c>
      <c r="L1699" t="s">
        <v>45</v>
      </c>
      <c r="M1699" t="s">
        <v>59</v>
      </c>
      <c r="N1699" s="15">
        <v>31.4</v>
      </c>
      <c r="O1699" s="16">
        <v>-7.7</v>
      </c>
      <c r="P1699">
        <v>0</v>
      </c>
    </row>
    <row r="1700" spans="1:16" x14ac:dyDescent="0.3">
      <c r="A1700" t="s">
        <v>60</v>
      </c>
      <c r="B1700" t="s">
        <v>18</v>
      </c>
      <c r="C1700" t="s">
        <v>18</v>
      </c>
      <c r="D1700" t="s">
        <v>14</v>
      </c>
      <c r="E1700" t="s">
        <v>63</v>
      </c>
      <c r="F1700" t="s">
        <v>9</v>
      </c>
      <c r="G1700" s="15">
        <v>67.28</v>
      </c>
      <c r="H1700" t="s">
        <v>26</v>
      </c>
      <c r="I1700">
        <v>2</v>
      </c>
      <c r="J1700" t="s">
        <v>48</v>
      </c>
      <c r="K1700" t="s">
        <v>45</v>
      </c>
      <c r="L1700" t="s">
        <v>45</v>
      </c>
      <c r="M1700" t="s">
        <v>64</v>
      </c>
      <c r="N1700" s="15">
        <v>66.680000000000007</v>
      </c>
      <c r="O1700" s="16">
        <v>0.9</v>
      </c>
      <c r="P1700">
        <v>0</v>
      </c>
    </row>
    <row r="1701" spans="1:16" x14ac:dyDescent="0.3">
      <c r="A1701" t="s">
        <v>65</v>
      </c>
      <c r="B1701" t="s">
        <v>18</v>
      </c>
      <c r="C1701" t="s">
        <v>18</v>
      </c>
      <c r="D1701" t="s">
        <v>15</v>
      </c>
      <c r="E1701" t="s">
        <v>75</v>
      </c>
      <c r="F1701" t="s">
        <v>9</v>
      </c>
      <c r="G1701" s="15">
        <v>114.06</v>
      </c>
      <c r="H1701" t="s">
        <v>27</v>
      </c>
      <c r="I1701">
        <v>3</v>
      </c>
      <c r="J1701" t="s">
        <v>47</v>
      </c>
      <c r="K1701" t="s">
        <v>45</v>
      </c>
      <c r="L1701" t="s">
        <v>45</v>
      </c>
      <c r="M1701" t="s">
        <v>78</v>
      </c>
      <c r="N1701" s="15">
        <v>126.9</v>
      </c>
      <c r="O1701" s="16">
        <v>-10.1</v>
      </c>
      <c r="P1701">
        <v>0</v>
      </c>
    </row>
    <row r="1702" spans="1:16" x14ac:dyDescent="0.3">
      <c r="A1702" t="s">
        <v>65</v>
      </c>
      <c r="B1702" t="s">
        <v>21</v>
      </c>
      <c r="C1702" t="s">
        <v>62</v>
      </c>
      <c r="D1702" t="s">
        <v>10</v>
      </c>
      <c r="E1702" t="s">
        <v>58</v>
      </c>
      <c r="F1702" t="s">
        <v>9</v>
      </c>
      <c r="G1702" s="15">
        <v>151.80000000000001</v>
      </c>
      <c r="H1702" t="s">
        <v>27</v>
      </c>
      <c r="I1702">
        <v>3</v>
      </c>
      <c r="J1702" t="s">
        <v>47</v>
      </c>
      <c r="K1702" t="s">
        <v>45</v>
      </c>
      <c r="L1702" t="s">
        <v>46</v>
      </c>
      <c r="M1702" t="s">
        <v>64</v>
      </c>
      <c r="N1702" s="15">
        <v>166.29</v>
      </c>
      <c r="O1702" s="16">
        <v>-8.6999999999999993</v>
      </c>
      <c r="P1702">
        <v>0</v>
      </c>
    </row>
    <row r="1703" spans="1:16" x14ac:dyDescent="0.3">
      <c r="A1703" t="s">
        <v>57</v>
      </c>
      <c r="B1703" t="s">
        <v>22</v>
      </c>
      <c r="C1703" t="s">
        <v>22</v>
      </c>
      <c r="D1703" t="s">
        <v>15</v>
      </c>
      <c r="E1703" t="s">
        <v>75</v>
      </c>
      <c r="F1703" t="s">
        <v>9</v>
      </c>
      <c r="G1703" s="15">
        <v>99.55</v>
      </c>
      <c r="H1703" t="s">
        <v>26</v>
      </c>
      <c r="I1703">
        <v>2</v>
      </c>
      <c r="J1703" t="s">
        <v>48</v>
      </c>
      <c r="K1703" t="s">
        <v>46</v>
      </c>
      <c r="L1703" t="s">
        <v>45</v>
      </c>
      <c r="M1703" t="s">
        <v>61</v>
      </c>
      <c r="N1703" s="15">
        <v>120.06</v>
      </c>
      <c r="O1703" s="16">
        <v>-17.100000000000001</v>
      </c>
      <c r="P1703">
        <v>0</v>
      </c>
    </row>
    <row r="1704" spans="1:16" x14ac:dyDescent="0.3">
      <c r="A1704" t="s">
        <v>57</v>
      </c>
      <c r="B1704" t="s">
        <v>19</v>
      </c>
      <c r="C1704" t="s">
        <v>19</v>
      </c>
      <c r="D1704" t="s">
        <v>15</v>
      </c>
      <c r="E1704" t="s">
        <v>76</v>
      </c>
      <c r="F1704" t="s">
        <v>9</v>
      </c>
      <c r="G1704" s="15">
        <v>116.83</v>
      </c>
      <c r="H1704" t="s">
        <v>25</v>
      </c>
      <c r="I1704">
        <v>1</v>
      </c>
      <c r="J1704" t="s">
        <v>48</v>
      </c>
      <c r="K1704" t="s">
        <v>46</v>
      </c>
      <c r="L1704" t="s">
        <v>45</v>
      </c>
      <c r="M1704" t="s">
        <v>72</v>
      </c>
      <c r="N1704" s="15">
        <v>118.59</v>
      </c>
      <c r="O1704" s="16">
        <v>-1.5</v>
      </c>
      <c r="P1704">
        <v>0</v>
      </c>
    </row>
    <row r="1705" spans="1:16" x14ac:dyDescent="0.3">
      <c r="A1705" t="s">
        <v>57</v>
      </c>
      <c r="B1705" t="s">
        <v>17</v>
      </c>
      <c r="C1705" t="s">
        <v>17</v>
      </c>
      <c r="D1705" t="s">
        <v>8</v>
      </c>
      <c r="E1705" t="s">
        <v>74</v>
      </c>
      <c r="F1705" t="s">
        <v>9</v>
      </c>
      <c r="G1705" s="15">
        <v>57.22</v>
      </c>
      <c r="H1705" t="s">
        <v>26</v>
      </c>
      <c r="I1705">
        <v>2</v>
      </c>
      <c r="J1705" t="s">
        <v>48</v>
      </c>
      <c r="K1705" t="s">
        <v>46</v>
      </c>
      <c r="L1705" t="s">
        <v>45</v>
      </c>
      <c r="M1705" t="s">
        <v>61</v>
      </c>
      <c r="N1705" s="15">
        <v>83.41</v>
      </c>
      <c r="O1705" s="16">
        <v>-31.4</v>
      </c>
      <c r="P1705">
        <v>0</v>
      </c>
    </row>
    <row r="1706" spans="1:16" x14ac:dyDescent="0.3">
      <c r="A1706" t="s">
        <v>65</v>
      </c>
      <c r="B1706" t="s">
        <v>21</v>
      </c>
      <c r="C1706" t="s">
        <v>62</v>
      </c>
      <c r="D1706" t="s">
        <v>14</v>
      </c>
      <c r="E1706" t="s">
        <v>71</v>
      </c>
      <c r="F1706" t="s">
        <v>9</v>
      </c>
      <c r="G1706" s="15">
        <v>71.77</v>
      </c>
      <c r="H1706" t="s">
        <v>26</v>
      </c>
      <c r="I1706">
        <v>2</v>
      </c>
      <c r="J1706" t="s">
        <v>47</v>
      </c>
      <c r="K1706" t="s">
        <v>46</v>
      </c>
      <c r="L1706" t="s">
        <v>45</v>
      </c>
      <c r="M1706" t="s">
        <v>78</v>
      </c>
      <c r="N1706" s="15">
        <v>71.77</v>
      </c>
      <c r="O1706" s="16">
        <v>0</v>
      </c>
      <c r="P1706">
        <v>0</v>
      </c>
    </row>
    <row r="1707" spans="1:16" x14ac:dyDescent="0.3">
      <c r="A1707" t="s">
        <v>65</v>
      </c>
      <c r="B1707" t="s">
        <v>20</v>
      </c>
      <c r="C1707" t="s">
        <v>20</v>
      </c>
      <c r="D1707" t="s">
        <v>12</v>
      </c>
      <c r="E1707" t="s">
        <v>80</v>
      </c>
      <c r="F1707" t="s">
        <v>13</v>
      </c>
      <c r="G1707" s="15">
        <v>197.27</v>
      </c>
      <c r="H1707" t="s">
        <v>25</v>
      </c>
      <c r="I1707">
        <v>1</v>
      </c>
      <c r="J1707" t="s">
        <v>48</v>
      </c>
      <c r="K1707" t="s">
        <v>45</v>
      </c>
      <c r="L1707" t="s">
        <v>45</v>
      </c>
      <c r="M1707" t="s">
        <v>67</v>
      </c>
      <c r="N1707" s="15">
        <v>176.57</v>
      </c>
      <c r="O1707" s="16">
        <v>11.7</v>
      </c>
      <c r="P1707">
        <v>0</v>
      </c>
    </row>
    <row r="1708" spans="1:16" x14ac:dyDescent="0.3">
      <c r="A1708" t="s">
        <v>65</v>
      </c>
      <c r="B1708" t="s">
        <v>21</v>
      </c>
      <c r="C1708" t="s">
        <v>62</v>
      </c>
      <c r="D1708" t="s">
        <v>8</v>
      </c>
      <c r="E1708" t="s">
        <v>74</v>
      </c>
      <c r="F1708" t="s">
        <v>9</v>
      </c>
      <c r="G1708" s="15">
        <v>68.38</v>
      </c>
      <c r="H1708" t="s">
        <v>27</v>
      </c>
      <c r="I1708">
        <v>3</v>
      </c>
      <c r="J1708" t="s">
        <v>47</v>
      </c>
      <c r="K1708" t="s">
        <v>45</v>
      </c>
      <c r="L1708" t="s">
        <v>45</v>
      </c>
      <c r="M1708" t="s">
        <v>68</v>
      </c>
      <c r="N1708" s="15">
        <v>91.13</v>
      </c>
      <c r="O1708" s="16">
        <v>-25</v>
      </c>
      <c r="P1708">
        <v>0</v>
      </c>
    </row>
    <row r="1709" spans="1:16" x14ac:dyDescent="0.3">
      <c r="A1709" t="s">
        <v>65</v>
      </c>
      <c r="B1709" t="s">
        <v>21</v>
      </c>
      <c r="C1709" t="s">
        <v>62</v>
      </c>
      <c r="D1709" t="s">
        <v>11</v>
      </c>
      <c r="E1709" t="s">
        <v>70</v>
      </c>
      <c r="F1709" t="s">
        <v>9</v>
      </c>
      <c r="G1709" s="15">
        <v>31.03</v>
      </c>
      <c r="H1709" t="s">
        <v>26</v>
      </c>
      <c r="I1709">
        <v>2</v>
      </c>
      <c r="J1709" t="s">
        <v>47</v>
      </c>
      <c r="K1709" t="s">
        <v>45</v>
      </c>
      <c r="L1709" t="s">
        <v>45</v>
      </c>
      <c r="M1709" t="s">
        <v>68</v>
      </c>
      <c r="N1709" s="15">
        <v>32.630000000000003</v>
      </c>
      <c r="O1709" s="16">
        <v>-4.9000000000000004</v>
      </c>
      <c r="P1709">
        <v>0</v>
      </c>
    </row>
    <row r="1710" spans="1:16" x14ac:dyDescent="0.3">
      <c r="A1710" t="s">
        <v>57</v>
      </c>
      <c r="B1710" t="s">
        <v>17</v>
      </c>
      <c r="C1710" t="s">
        <v>17</v>
      </c>
      <c r="D1710" t="s">
        <v>14</v>
      </c>
      <c r="E1710" t="s">
        <v>77</v>
      </c>
      <c r="F1710" t="s">
        <v>9</v>
      </c>
      <c r="G1710" s="15">
        <v>62.95</v>
      </c>
      <c r="H1710" t="s">
        <v>27</v>
      </c>
      <c r="I1710">
        <v>3</v>
      </c>
      <c r="J1710" t="s">
        <v>48</v>
      </c>
      <c r="K1710" t="s">
        <v>46</v>
      </c>
      <c r="L1710" t="s">
        <v>45</v>
      </c>
      <c r="M1710" t="s">
        <v>78</v>
      </c>
      <c r="N1710" s="15">
        <v>65.97</v>
      </c>
      <c r="O1710" s="16">
        <v>-4.5999999999999996</v>
      </c>
      <c r="P1710">
        <v>0</v>
      </c>
    </row>
    <row r="1711" spans="1:16" x14ac:dyDescent="0.3">
      <c r="A1711" t="s">
        <v>65</v>
      </c>
      <c r="B1711" t="s">
        <v>20</v>
      </c>
      <c r="C1711" t="s">
        <v>20</v>
      </c>
      <c r="D1711" t="s">
        <v>8</v>
      </c>
      <c r="E1711" t="s">
        <v>73</v>
      </c>
      <c r="F1711" t="s">
        <v>9</v>
      </c>
      <c r="G1711" s="15">
        <v>112.61</v>
      </c>
      <c r="H1711" t="s">
        <v>25</v>
      </c>
      <c r="I1711">
        <v>1</v>
      </c>
      <c r="J1711" t="s">
        <v>47</v>
      </c>
      <c r="K1711" t="s">
        <v>45</v>
      </c>
      <c r="L1711" t="s">
        <v>46</v>
      </c>
      <c r="M1711" t="s">
        <v>68</v>
      </c>
      <c r="N1711" s="15">
        <v>88.05</v>
      </c>
      <c r="O1711" s="16">
        <v>27.9</v>
      </c>
      <c r="P1711">
        <v>1</v>
      </c>
    </row>
    <row r="1712" spans="1:16" x14ac:dyDescent="0.3">
      <c r="A1712" t="s">
        <v>60</v>
      </c>
      <c r="B1712" t="s">
        <v>19</v>
      </c>
      <c r="C1712" t="s">
        <v>19</v>
      </c>
      <c r="D1712" t="s">
        <v>8</v>
      </c>
      <c r="E1712" t="s">
        <v>74</v>
      </c>
      <c r="F1712" t="s">
        <v>9</v>
      </c>
      <c r="G1712" s="15">
        <v>112.76</v>
      </c>
      <c r="H1712" t="s">
        <v>25</v>
      </c>
      <c r="I1712">
        <v>1</v>
      </c>
      <c r="J1712" t="s">
        <v>48</v>
      </c>
      <c r="K1712" t="s">
        <v>45</v>
      </c>
      <c r="L1712" t="s">
        <v>45</v>
      </c>
      <c r="M1712" t="s">
        <v>72</v>
      </c>
      <c r="N1712" s="15">
        <v>78.260000000000005</v>
      </c>
      <c r="O1712" s="16">
        <v>44.1</v>
      </c>
      <c r="P1712">
        <v>1</v>
      </c>
    </row>
    <row r="1713" spans="1:16" x14ac:dyDescent="0.3">
      <c r="A1713" t="s">
        <v>65</v>
      </c>
      <c r="B1713" t="s">
        <v>17</v>
      </c>
      <c r="C1713" t="s">
        <v>17</v>
      </c>
      <c r="D1713" t="s">
        <v>15</v>
      </c>
      <c r="E1713" t="s">
        <v>75</v>
      </c>
      <c r="F1713" t="s">
        <v>9</v>
      </c>
      <c r="G1713" s="15">
        <v>126.9</v>
      </c>
      <c r="H1713" t="s">
        <v>26</v>
      </c>
      <c r="I1713">
        <v>2</v>
      </c>
      <c r="J1713" t="s">
        <v>47</v>
      </c>
      <c r="K1713" t="s">
        <v>46</v>
      </c>
      <c r="L1713" t="s">
        <v>46</v>
      </c>
      <c r="M1713" t="s">
        <v>61</v>
      </c>
      <c r="N1713" s="15">
        <v>126.9</v>
      </c>
      <c r="O1713" s="16">
        <v>0</v>
      </c>
      <c r="P1713">
        <v>0</v>
      </c>
    </row>
    <row r="1714" spans="1:16" x14ac:dyDescent="0.3">
      <c r="A1714" t="s">
        <v>57</v>
      </c>
      <c r="B1714" t="s">
        <v>18</v>
      </c>
      <c r="C1714" t="s">
        <v>18</v>
      </c>
      <c r="D1714" t="s">
        <v>10</v>
      </c>
      <c r="E1714" t="s">
        <v>69</v>
      </c>
      <c r="F1714" t="s">
        <v>9</v>
      </c>
      <c r="G1714" s="15">
        <v>149.37</v>
      </c>
      <c r="H1714" t="s">
        <v>26</v>
      </c>
      <c r="I1714">
        <v>2</v>
      </c>
      <c r="J1714" t="s">
        <v>48</v>
      </c>
      <c r="K1714" t="s">
        <v>45</v>
      </c>
      <c r="L1714" t="s">
        <v>45</v>
      </c>
      <c r="M1714" t="s">
        <v>61</v>
      </c>
      <c r="N1714" s="15">
        <v>150.38999999999999</v>
      </c>
      <c r="O1714" s="16">
        <v>-0.7</v>
      </c>
      <c r="P1714">
        <v>0</v>
      </c>
    </row>
    <row r="1715" spans="1:16" x14ac:dyDescent="0.3">
      <c r="A1715" t="s">
        <v>65</v>
      </c>
      <c r="B1715" t="s">
        <v>20</v>
      </c>
      <c r="C1715" t="s">
        <v>20</v>
      </c>
      <c r="D1715" t="s">
        <v>12</v>
      </c>
      <c r="E1715" t="s">
        <v>66</v>
      </c>
      <c r="F1715" t="s">
        <v>13</v>
      </c>
      <c r="G1715" s="15">
        <v>200</v>
      </c>
      <c r="H1715" t="s">
        <v>25</v>
      </c>
      <c r="I1715">
        <v>1</v>
      </c>
      <c r="J1715" t="s">
        <v>47</v>
      </c>
      <c r="K1715" t="s">
        <v>45</v>
      </c>
      <c r="L1715" t="s">
        <v>45</v>
      </c>
      <c r="M1715" t="s">
        <v>67</v>
      </c>
      <c r="N1715" s="15">
        <v>178.49</v>
      </c>
      <c r="O1715" s="16">
        <v>12.1</v>
      </c>
      <c r="P1715">
        <v>0</v>
      </c>
    </row>
    <row r="1716" spans="1:16" x14ac:dyDescent="0.3">
      <c r="A1716" t="s">
        <v>60</v>
      </c>
      <c r="B1716" t="s">
        <v>22</v>
      </c>
      <c r="C1716" t="s">
        <v>22</v>
      </c>
      <c r="D1716" t="s">
        <v>15</v>
      </c>
      <c r="E1716" t="s">
        <v>75</v>
      </c>
      <c r="F1716" t="s">
        <v>9</v>
      </c>
      <c r="G1716" s="15">
        <v>129.16</v>
      </c>
      <c r="H1716" t="s">
        <v>26</v>
      </c>
      <c r="I1716">
        <v>2</v>
      </c>
      <c r="J1716" t="s">
        <v>48</v>
      </c>
      <c r="K1716" t="s">
        <v>45</v>
      </c>
      <c r="L1716" t="s">
        <v>45</v>
      </c>
      <c r="M1716" t="s">
        <v>64</v>
      </c>
      <c r="N1716" s="15">
        <v>119</v>
      </c>
      <c r="O1716" s="16">
        <v>8.5</v>
      </c>
      <c r="P1716">
        <v>0</v>
      </c>
    </row>
    <row r="1717" spans="1:16" x14ac:dyDescent="0.3">
      <c r="A1717" t="s">
        <v>57</v>
      </c>
      <c r="B1717" t="s">
        <v>21</v>
      </c>
      <c r="C1717" t="s">
        <v>62</v>
      </c>
      <c r="D1717" t="s">
        <v>14</v>
      </c>
      <c r="E1717" t="s">
        <v>63</v>
      </c>
      <c r="F1717" t="s">
        <v>9</v>
      </c>
      <c r="G1717" s="15">
        <v>68.52</v>
      </c>
      <c r="H1717" t="s">
        <v>26</v>
      </c>
      <c r="I1717">
        <v>2</v>
      </c>
      <c r="J1717" t="s">
        <v>47</v>
      </c>
      <c r="K1717" t="s">
        <v>45</v>
      </c>
      <c r="L1717" t="s">
        <v>45</v>
      </c>
      <c r="M1717" t="s">
        <v>67</v>
      </c>
      <c r="N1717" s="15">
        <v>65.16</v>
      </c>
      <c r="O1717" s="16">
        <v>5.2</v>
      </c>
      <c r="P1717">
        <v>0</v>
      </c>
    </row>
    <row r="1718" spans="1:16" x14ac:dyDescent="0.3">
      <c r="A1718" t="s">
        <v>65</v>
      </c>
      <c r="B1718" t="s">
        <v>21</v>
      </c>
      <c r="C1718" t="s">
        <v>62</v>
      </c>
      <c r="D1718" t="s">
        <v>8</v>
      </c>
      <c r="E1718" t="s">
        <v>73</v>
      </c>
      <c r="F1718" t="s">
        <v>9</v>
      </c>
      <c r="G1718" s="15">
        <v>74.180000000000007</v>
      </c>
      <c r="H1718" t="s">
        <v>25</v>
      </c>
      <c r="I1718">
        <v>1</v>
      </c>
      <c r="J1718" t="s">
        <v>47</v>
      </c>
      <c r="K1718" t="s">
        <v>46</v>
      </c>
      <c r="L1718" t="s">
        <v>45</v>
      </c>
      <c r="M1718" t="s">
        <v>61</v>
      </c>
      <c r="N1718" s="15">
        <v>88.05</v>
      </c>
      <c r="O1718" s="16">
        <v>-15.8</v>
      </c>
      <c r="P1718">
        <v>0</v>
      </c>
    </row>
    <row r="1719" spans="1:16" x14ac:dyDescent="0.3">
      <c r="A1719" t="s">
        <v>65</v>
      </c>
      <c r="B1719" t="s">
        <v>21</v>
      </c>
      <c r="C1719" t="s">
        <v>62</v>
      </c>
      <c r="D1719" t="s">
        <v>12</v>
      </c>
      <c r="E1719" t="s">
        <v>80</v>
      </c>
      <c r="F1719" t="s">
        <v>13</v>
      </c>
      <c r="G1719" s="15">
        <v>156.1</v>
      </c>
      <c r="H1719" t="s">
        <v>25</v>
      </c>
      <c r="I1719">
        <v>1</v>
      </c>
      <c r="J1719" t="s">
        <v>47</v>
      </c>
      <c r="K1719" t="s">
        <v>45</v>
      </c>
      <c r="L1719" t="s">
        <v>45</v>
      </c>
      <c r="M1719" t="s">
        <v>67</v>
      </c>
      <c r="N1719" s="15">
        <v>176.57</v>
      </c>
      <c r="O1719" s="16">
        <v>-11.6</v>
      </c>
      <c r="P1719">
        <v>0</v>
      </c>
    </row>
    <row r="1720" spans="1:16" x14ac:dyDescent="0.3">
      <c r="A1720" t="s">
        <v>65</v>
      </c>
      <c r="B1720" t="s">
        <v>21</v>
      </c>
      <c r="C1720" t="s">
        <v>62</v>
      </c>
      <c r="D1720" t="s">
        <v>11</v>
      </c>
      <c r="E1720" t="s">
        <v>79</v>
      </c>
      <c r="F1720" t="s">
        <v>9</v>
      </c>
      <c r="G1720" s="15">
        <v>33.97</v>
      </c>
      <c r="H1720" t="s">
        <v>26</v>
      </c>
      <c r="I1720">
        <v>2</v>
      </c>
      <c r="J1720" t="s">
        <v>47</v>
      </c>
      <c r="K1720" t="s">
        <v>45</v>
      </c>
      <c r="L1720" t="s">
        <v>45</v>
      </c>
      <c r="M1720" t="s">
        <v>67</v>
      </c>
      <c r="N1720" s="15">
        <v>33.39</v>
      </c>
      <c r="O1720" s="16">
        <v>1.7</v>
      </c>
      <c r="P1720">
        <v>0</v>
      </c>
    </row>
    <row r="1721" spans="1:16" x14ac:dyDescent="0.3">
      <c r="A1721" t="s">
        <v>65</v>
      </c>
      <c r="B1721" t="s">
        <v>21</v>
      </c>
      <c r="C1721" t="s">
        <v>62</v>
      </c>
      <c r="D1721" t="s">
        <v>15</v>
      </c>
      <c r="E1721" t="s">
        <v>75</v>
      </c>
      <c r="F1721" t="s">
        <v>9</v>
      </c>
      <c r="G1721" s="15">
        <v>110.99</v>
      </c>
      <c r="H1721" t="s">
        <v>27</v>
      </c>
      <c r="I1721">
        <v>3</v>
      </c>
      <c r="J1721" t="s">
        <v>47</v>
      </c>
      <c r="K1721" t="s">
        <v>45</v>
      </c>
      <c r="L1721" t="s">
        <v>45</v>
      </c>
      <c r="M1721" t="s">
        <v>67</v>
      </c>
      <c r="N1721" s="15">
        <v>126.9</v>
      </c>
      <c r="O1721" s="16">
        <v>-12.5</v>
      </c>
      <c r="P1721">
        <v>0</v>
      </c>
    </row>
    <row r="1722" spans="1:16" x14ac:dyDescent="0.3">
      <c r="A1722" t="s">
        <v>57</v>
      </c>
      <c r="B1722" t="s">
        <v>20</v>
      </c>
      <c r="C1722" t="s">
        <v>20</v>
      </c>
      <c r="D1722" t="s">
        <v>11</v>
      </c>
      <c r="E1722" t="s">
        <v>70</v>
      </c>
      <c r="F1722" t="s">
        <v>9</v>
      </c>
      <c r="G1722" s="15">
        <v>30.59</v>
      </c>
      <c r="H1722" t="s">
        <v>26</v>
      </c>
      <c r="I1722">
        <v>2</v>
      </c>
      <c r="J1722" t="s">
        <v>48</v>
      </c>
      <c r="K1722" t="s">
        <v>45</v>
      </c>
      <c r="L1722" t="s">
        <v>45</v>
      </c>
      <c r="M1722" t="s">
        <v>59</v>
      </c>
      <c r="N1722" s="15">
        <v>30.5</v>
      </c>
      <c r="O1722" s="16">
        <v>0.3</v>
      </c>
      <c r="P1722">
        <v>0</v>
      </c>
    </row>
    <row r="1723" spans="1:16" x14ac:dyDescent="0.3">
      <c r="A1723" t="s">
        <v>57</v>
      </c>
      <c r="B1723" t="s">
        <v>20</v>
      </c>
      <c r="C1723" t="s">
        <v>20</v>
      </c>
      <c r="D1723" t="s">
        <v>10</v>
      </c>
      <c r="E1723" t="s">
        <v>58</v>
      </c>
      <c r="F1723" t="s">
        <v>9</v>
      </c>
      <c r="G1723" s="15">
        <v>166.29</v>
      </c>
      <c r="H1723" t="s">
        <v>26</v>
      </c>
      <c r="I1723">
        <v>2</v>
      </c>
      <c r="J1723" t="s">
        <v>48</v>
      </c>
      <c r="K1723" t="s">
        <v>45</v>
      </c>
      <c r="L1723" t="s">
        <v>45</v>
      </c>
      <c r="M1723" t="s">
        <v>68</v>
      </c>
      <c r="N1723" s="15">
        <v>151.19</v>
      </c>
      <c r="O1723" s="16">
        <v>10</v>
      </c>
      <c r="P1723">
        <v>0</v>
      </c>
    </row>
    <row r="1724" spans="1:16" x14ac:dyDescent="0.3">
      <c r="A1724" t="s">
        <v>65</v>
      </c>
      <c r="B1724" t="s">
        <v>20</v>
      </c>
      <c r="C1724" t="s">
        <v>20</v>
      </c>
      <c r="D1724" t="s">
        <v>8</v>
      </c>
      <c r="E1724" t="s">
        <v>74</v>
      </c>
      <c r="F1724" t="s">
        <v>9</v>
      </c>
      <c r="G1724" s="15">
        <v>90.22</v>
      </c>
      <c r="H1724" t="s">
        <v>26</v>
      </c>
      <c r="I1724">
        <v>2</v>
      </c>
      <c r="J1724" t="s">
        <v>48</v>
      </c>
      <c r="K1724" t="s">
        <v>45</v>
      </c>
      <c r="L1724" t="s">
        <v>45</v>
      </c>
      <c r="M1724" t="s">
        <v>61</v>
      </c>
      <c r="N1724" s="15">
        <v>91.13</v>
      </c>
      <c r="O1724" s="16">
        <v>-1</v>
      </c>
      <c r="P1724">
        <v>0</v>
      </c>
    </row>
    <row r="1725" spans="1:16" x14ac:dyDescent="0.3">
      <c r="A1725" t="s">
        <v>57</v>
      </c>
      <c r="B1725" t="s">
        <v>21</v>
      </c>
      <c r="C1725" t="s">
        <v>62</v>
      </c>
      <c r="D1725" t="s">
        <v>10</v>
      </c>
      <c r="E1725" t="s">
        <v>58</v>
      </c>
      <c r="F1725" t="s">
        <v>9</v>
      </c>
      <c r="G1725" s="15">
        <v>139.69</v>
      </c>
      <c r="H1725" t="s">
        <v>26</v>
      </c>
      <c r="I1725">
        <v>2</v>
      </c>
      <c r="J1725" t="s">
        <v>48</v>
      </c>
      <c r="K1725" t="s">
        <v>45</v>
      </c>
      <c r="L1725" t="s">
        <v>45</v>
      </c>
      <c r="M1725" t="s">
        <v>64</v>
      </c>
      <c r="N1725" s="15">
        <v>151.19</v>
      </c>
      <c r="O1725" s="16">
        <v>-7.6</v>
      </c>
      <c r="P1725">
        <v>0</v>
      </c>
    </row>
    <row r="1726" spans="1:16" x14ac:dyDescent="0.3">
      <c r="A1726" t="s">
        <v>57</v>
      </c>
      <c r="B1726" t="s">
        <v>22</v>
      </c>
      <c r="C1726" t="s">
        <v>22</v>
      </c>
      <c r="D1726" t="s">
        <v>12</v>
      </c>
      <c r="E1726" t="s">
        <v>80</v>
      </c>
      <c r="F1726" t="s">
        <v>13</v>
      </c>
      <c r="G1726" s="15">
        <v>157.22999999999999</v>
      </c>
      <c r="H1726" t="s">
        <v>26</v>
      </c>
      <c r="I1726">
        <v>2</v>
      </c>
      <c r="J1726" t="s">
        <v>48</v>
      </c>
      <c r="K1726" t="s">
        <v>46</v>
      </c>
      <c r="L1726" t="s">
        <v>45</v>
      </c>
      <c r="M1726" t="s">
        <v>67</v>
      </c>
      <c r="N1726" s="15">
        <v>162.72999999999999</v>
      </c>
      <c r="O1726" s="16">
        <v>-3.4</v>
      </c>
      <c r="P1726">
        <v>0</v>
      </c>
    </row>
    <row r="1727" spans="1:16" x14ac:dyDescent="0.3">
      <c r="A1727" t="s">
        <v>57</v>
      </c>
      <c r="B1727" t="s">
        <v>21</v>
      </c>
      <c r="C1727" t="s">
        <v>62</v>
      </c>
      <c r="D1727" t="s">
        <v>14</v>
      </c>
      <c r="E1727" t="s">
        <v>63</v>
      </c>
      <c r="F1727" t="s">
        <v>9</v>
      </c>
      <c r="G1727" s="15">
        <v>58.38</v>
      </c>
      <c r="H1727" t="s">
        <v>26</v>
      </c>
      <c r="I1727">
        <v>2</v>
      </c>
      <c r="J1727" t="s">
        <v>47</v>
      </c>
      <c r="K1727" t="s">
        <v>46</v>
      </c>
      <c r="L1727" t="s">
        <v>45</v>
      </c>
      <c r="M1727" t="s">
        <v>67</v>
      </c>
      <c r="N1727" s="15">
        <v>65.16</v>
      </c>
      <c r="O1727" s="16">
        <v>-10.4</v>
      </c>
      <c r="P1727">
        <v>0</v>
      </c>
    </row>
    <row r="1728" spans="1:16" x14ac:dyDescent="0.3">
      <c r="A1728" t="s">
        <v>57</v>
      </c>
      <c r="B1728" t="s">
        <v>21</v>
      </c>
      <c r="C1728" t="s">
        <v>62</v>
      </c>
      <c r="D1728" t="s">
        <v>14</v>
      </c>
      <c r="E1728" t="s">
        <v>63</v>
      </c>
      <c r="F1728" t="s">
        <v>9</v>
      </c>
      <c r="G1728" s="15">
        <v>63.3</v>
      </c>
      <c r="H1728" t="s">
        <v>27</v>
      </c>
      <c r="I1728">
        <v>3</v>
      </c>
      <c r="J1728" t="s">
        <v>48</v>
      </c>
      <c r="K1728" t="s">
        <v>46</v>
      </c>
      <c r="L1728" t="s">
        <v>45</v>
      </c>
      <c r="M1728" t="s">
        <v>59</v>
      </c>
      <c r="N1728" s="15">
        <v>65.16</v>
      </c>
      <c r="O1728" s="16">
        <v>-2.9</v>
      </c>
      <c r="P1728">
        <v>0</v>
      </c>
    </row>
    <row r="1729" spans="1:16" x14ac:dyDescent="0.3">
      <c r="A1729" t="s">
        <v>57</v>
      </c>
      <c r="B1729" t="s">
        <v>19</v>
      </c>
      <c r="C1729" t="s">
        <v>19</v>
      </c>
      <c r="D1729" t="s">
        <v>15</v>
      </c>
      <c r="E1729" t="s">
        <v>75</v>
      </c>
      <c r="F1729" t="s">
        <v>9</v>
      </c>
      <c r="G1729" s="15">
        <v>125.27</v>
      </c>
      <c r="H1729" t="s">
        <v>27</v>
      </c>
      <c r="I1729">
        <v>3</v>
      </c>
      <c r="J1729" t="s">
        <v>48</v>
      </c>
      <c r="K1729" t="s">
        <v>45</v>
      </c>
      <c r="L1729" t="s">
        <v>45</v>
      </c>
      <c r="M1729" t="s">
        <v>72</v>
      </c>
      <c r="N1729" s="15">
        <v>120.06</v>
      </c>
      <c r="O1729" s="16">
        <v>4.3</v>
      </c>
      <c r="P1729">
        <v>0</v>
      </c>
    </row>
    <row r="1730" spans="1:16" x14ac:dyDescent="0.3">
      <c r="A1730" t="s">
        <v>60</v>
      </c>
      <c r="B1730" t="s">
        <v>21</v>
      </c>
      <c r="C1730" t="s">
        <v>62</v>
      </c>
      <c r="D1730" t="s">
        <v>14</v>
      </c>
      <c r="E1730" t="s">
        <v>63</v>
      </c>
      <c r="F1730" t="s">
        <v>9</v>
      </c>
      <c r="G1730" s="15">
        <v>50</v>
      </c>
      <c r="H1730" t="s">
        <v>26</v>
      </c>
      <c r="I1730">
        <v>2</v>
      </c>
      <c r="J1730" t="s">
        <v>48</v>
      </c>
      <c r="K1730" t="s">
        <v>46</v>
      </c>
      <c r="L1730" t="s">
        <v>45</v>
      </c>
      <c r="M1730" t="s">
        <v>78</v>
      </c>
      <c r="N1730" s="15">
        <v>66.680000000000007</v>
      </c>
      <c r="O1730" s="16">
        <v>-25</v>
      </c>
      <c r="P1730">
        <v>0</v>
      </c>
    </row>
    <row r="1731" spans="1:16" x14ac:dyDescent="0.3">
      <c r="A1731" t="s">
        <v>57</v>
      </c>
      <c r="B1731" t="s">
        <v>20</v>
      </c>
      <c r="C1731" t="s">
        <v>20</v>
      </c>
      <c r="D1731" t="s">
        <v>14</v>
      </c>
      <c r="E1731" t="s">
        <v>71</v>
      </c>
      <c r="F1731" t="s">
        <v>9</v>
      </c>
      <c r="G1731" s="15">
        <v>69.87</v>
      </c>
      <c r="H1731" t="s">
        <v>26</v>
      </c>
      <c r="I1731">
        <v>2</v>
      </c>
      <c r="J1731" t="s">
        <v>48</v>
      </c>
      <c r="K1731" t="s">
        <v>45</v>
      </c>
      <c r="L1731" t="s">
        <v>46</v>
      </c>
      <c r="M1731" t="s">
        <v>61</v>
      </c>
      <c r="N1731" s="15">
        <v>65.77</v>
      </c>
      <c r="O1731" s="16">
        <v>6.2</v>
      </c>
      <c r="P1731">
        <v>0</v>
      </c>
    </row>
    <row r="1732" spans="1:16" x14ac:dyDescent="0.3">
      <c r="A1732" t="s">
        <v>60</v>
      </c>
      <c r="B1732" t="s">
        <v>19</v>
      </c>
      <c r="C1732" t="s">
        <v>19</v>
      </c>
      <c r="D1732" t="s">
        <v>10</v>
      </c>
      <c r="E1732" t="s">
        <v>69</v>
      </c>
      <c r="F1732" t="s">
        <v>9</v>
      </c>
      <c r="G1732" s="15">
        <v>128.68</v>
      </c>
      <c r="H1732" t="s">
        <v>26</v>
      </c>
      <c r="I1732">
        <v>2</v>
      </c>
      <c r="J1732" t="s">
        <v>48</v>
      </c>
      <c r="K1732" t="s">
        <v>46</v>
      </c>
      <c r="L1732" t="s">
        <v>45</v>
      </c>
      <c r="M1732" t="s">
        <v>61</v>
      </c>
      <c r="N1732" s="15">
        <v>158.6</v>
      </c>
      <c r="O1732" s="16">
        <v>-18.899999999999999</v>
      </c>
      <c r="P1732">
        <v>0</v>
      </c>
    </row>
    <row r="1733" spans="1:16" x14ac:dyDescent="0.3">
      <c r="A1733" t="s">
        <v>57</v>
      </c>
      <c r="B1733" t="s">
        <v>22</v>
      </c>
      <c r="C1733" t="s">
        <v>22</v>
      </c>
      <c r="D1733" t="s">
        <v>15</v>
      </c>
      <c r="E1733" t="s">
        <v>76</v>
      </c>
      <c r="F1733" t="s">
        <v>9</v>
      </c>
      <c r="G1733" s="15">
        <v>131.04</v>
      </c>
      <c r="H1733" t="s">
        <v>26</v>
      </c>
      <c r="I1733">
        <v>2</v>
      </c>
      <c r="J1733" t="s">
        <v>48</v>
      </c>
      <c r="K1733" t="s">
        <v>45</v>
      </c>
      <c r="L1733" t="s">
        <v>46</v>
      </c>
      <c r="M1733" t="s">
        <v>61</v>
      </c>
      <c r="N1733" s="15">
        <v>118.59</v>
      </c>
      <c r="O1733" s="16">
        <v>10.5</v>
      </c>
      <c r="P1733">
        <v>0</v>
      </c>
    </row>
    <row r="1734" spans="1:16" x14ac:dyDescent="0.3">
      <c r="A1734" t="s">
        <v>60</v>
      </c>
      <c r="B1734" t="s">
        <v>22</v>
      </c>
      <c r="C1734" t="s">
        <v>22</v>
      </c>
      <c r="D1734" t="s">
        <v>12</v>
      </c>
      <c r="E1734" t="s">
        <v>66</v>
      </c>
      <c r="F1734" t="s">
        <v>13</v>
      </c>
      <c r="G1734" s="15">
        <v>145.55000000000001</v>
      </c>
      <c r="H1734" t="s">
        <v>26</v>
      </c>
      <c r="I1734">
        <v>2</v>
      </c>
      <c r="J1734" t="s">
        <v>48</v>
      </c>
      <c r="K1734" t="s">
        <v>46</v>
      </c>
      <c r="L1734" t="s">
        <v>45</v>
      </c>
      <c r="M1734" t="s">
        <v>72</v>
      </c>
      <c r="N1734" s="15">
        <v>168.34</v>
      </c>
      <c r="O1734" s="16">
        <v>-13.5</v>
      </c>
      <c r="P1734">
        <v>0</v>
      </c>
    </row>
    <row r="1735" spans="1:16" x14ac:dyDescent="0.3">
      <c r="A1735" t="s">
        <v>65</v>
      </c>
      <c r="B1735" t="s">
        <v>21</v>
      </c>
      <c r="C1735" t="s">
        <v>62</v>
      </c>
      <c r="D1735" t="s">
        <v>8</v>
      </c>
      <c r="E1735" t="s">
        <v>74</v>
      </c>
      <c r="F1735" t="s">
        <v>9</v>
      </c>
      <c r="G1735" s="15">
        <v>109.48</v>
      </c>
      <c r="H1735" t="s">
        <v>26</v>
      </c>
      <c r="I1735">
        <v>2</v>
      </c>
      <c r="J1735" t="s">
        <v>48</v>
      </c>
      <c r="K1735" t="s">
        <v>45</v>
      </c>
      <c r="L1735" t="s">
        <v>45</v>
      </c>
      <c r="M1735" t="s">
        <v>59</v>
      </c>
      <c r="N1735" s="15">
        <v>91.13</v>
      </c>
      <c r="O1735" s="16">
        <v>20.100000000000001</v>
      </c>
      <c r="P1735">
        <v>1</v>
      </c>
    </row>
    <row r="1736" spans="1:16" x14ac:dyDescent="0.3">
      <c r="A1736" t="s">
        <v>57</v>
      </c>
      <c r="B1736" t="s">
        <v>21</v>
      </c>
      <c r="C1736" t="s">
        <v>62</v>
      </c>
      <c r="D1736" t="s">
        <v>15</v>
      </c>
      <c r="E1736" t="s">
        <v>76</v>
      </c>
      <c r="F1736" t="s">
        <v>9</v>
      </c>
      <c r="G1736" s="15">
        <v>127.91</v>
      </c>
      <c r="H1736" t="s">
        <v>26</v>
      </c>
      <c r="I1736">
        <v>2</v>
      </c>
      <c r="J1736" t="s">
        <v>48</v>
      </c>
      <c r="K1736" t="s">
        <v>45</v>
      </c>
      <c r="L1736" t="s">
        <v>46</v>
      </c>
      <c r="M1736" t="s">
        <v>72</v>
      </c>
      <c r="N1736" s="15">
        <v>118.59</v>
      </c>
      <c r="O1736" s="16">
        <v>7.9</v>
      </c>
      <c r="P1736">
        <v>0</v>
      </c>
    </row>
    <row r="1737" spans="1:16" x14ac:dyDescent="0.3">
      <c r="A1737" t="s">
        <v>65</v>
      </c>
      <c r="B1737" t="s">
        <v>21</v>
      </c>
      <c r="C1737" t="s">
        <v>62</v>
      </c>
      <c r="D1737" t="s">
        <v>12</v>
      </c>
      <c r="E1737" t="s">
        <v>80</v>
      </c>
      <c r="F1737" t="s">
        <v>13</v>
      </c>
      <c r="G1737" s="15">
        <v>176.79</v>
      </c>
      <c r="H1737" t="s">
        <v>26</v>
      </c>
      <c r="I1737">
        <v>2</v>
      </c>
      <c r="J1737" t="s">
        <v>48</v>
      </c>
      <c r="K1737" t="s">
        <v>45</v>
      </c>
      <c r="L1737" t="s">
        <v>45</v>
      </c>
      <c r="M1737" t="s">
        <v>72</v>
      </c>
      <c r="N1737" s="15">
        <v>176.57</v>
      </c>
      <c r="O1737" s="16">
        <v>0.1</v>
      </c>
      <c r="P1737">
        <v>0</v>
      </c>
    </row>
    <row r="1738" spans="1:16" x14ac:dyDescent="0.3">
      <c r="A1738" t="s">
        <v>57</v>
      </c>
      <c r="B1738" t="s">
        <v>21</v>
      </c>
      <c r="C1738" t="s">
        <v>62</v>
      </c>
      <c r="D1738" t="s">
        <v>10</v>
      </c>
      <c r="E1738" t="s">
        <v>69</v>
      </c>
      <c r="F1738" t="s">
        <v>9</v>
      </c>
      <c r="G1738" s="15">
        <v>147.77000000000001</v>
      </c>
      <c r="H1738" t="s">
        <v>26</v>
      </c>
      <c r="I1738">
        <v>2</v>
      </c>
      <c r="J1738" t="s">
        <v>48</v>
      </c>
      <c r="K1738" t="s">
        <v>46</v>
      </c>
      <c r="L1738" t="s">
        <v>45</v>
      </c>
      <c r="M1738" t="s">
        <v>68</v>
      </c>
      <c r="N1738" s="15">
        <v>150.38999999999999</v>
      </c>
      <c r="O1738" s="16">
        <v>-1.7</v>
      </c>
      <c r="P1738">
        <v>0</v>
      </c>
    </row>
    <row r="1739" spans="1:16" x14ac:dyDescent="0.3">
      <c r="A1739" t="s">
        <v>60</v>
      </c>
      <c r="B1739" t="s">
        <v>21</v>
      </c>
      <c r="C1739" t="s">
        <v>62</v>
      </c>
      <c r="D1739" t="s">
        <v>12</v>
      </c>
      <c r="E1739" t="s">
        <v>66</v>
      </c>
      <c r="F1739" t="s">
        <v>13</v>
      </c>
      <c r="G1739" s="15">
        <v>150.49</v>
      </c>
      <c r="H1739" t="s">
        <v>27</v>
      </c>
      <c r="I1739">
        <v>3</v>
      </c>
      <c r="J1739" t="s">
        <v>48</v>
      </c>
      <c r="K1739" t="s">
        <v>46</v>
      </c>
      <c r="L1739" t="s">
        <v>45</v>
      </c>
      <c r="M1739" t="s">
        <v>64</v>
      </c>
      <c r="N1739" s="15">
        <v>168.34</v>
      </c>
      <c r="O1739" s="16">
        <v>-10.6</v>
      </c>
      <c r="P1739">
        <v>0</v>
      </c>
    </row>
    <row r="1740" spans="1:16" x14ac:dyDescent="0.3">
      <c r="A1740" t="s">
        <v>57</v>
      </c>
      <c r="B1740" t="s">
        <v>21</v>
      </c>
      <c r="C1740" t="s">
        <v>62</v>
      </c>
      <c r="D1740" t="s">
        <v>15</v>
      </c>
      <c r="E1740" t="s">
        <v>75</v>
      </c>
      <c r="F1740" t="s">
        <v>9</v>
      </c>
      <c r="G1740" s="15">
        <v>119.59</v>
      </c>
      <c r="H1740" t="s">
        <v>27</v>
      </c>
      <c r="I1740">
        <v>3</v>
      </c>
      <c r="J1740" t="s">
        <v>48</v>
      </c>
      <c r="K1740" t="s">
        <v>45</v>
      </c>
      <c r="L1740" t="s">
        <v>45</v>
      </c>
      <c r="M1740" t="s">
        <v>59</v>
      </c>
      <c r="N1740" s="15">
        <v>120.06</v>
      </c>
      <c r="O1740" s="16">
        <v>-0.4</v>
      </c>
      <c r="P1740">
        <v>0</v>
      </c>
    </row>
    <row r="1741" spans="1:16" x14ac:dyDescent="0.3">
      <c r="A1741" t="s">
        <v>57</v>
      </c>
      <c r="B1741" t="s">
        <v>19</v>
      </c>
      <c r="C1741" t="s">
        <v>19</v>
      </c>
      <c r="D1741" t="s">
        <v>8</v>
      </c>
      <c r="E1741" t="s">
        <v>74</v>
      </c>
      <c r="F1741" t="s">
        <v>9</v>
      </c>
      <c r="G1741" s="15">
        <v>88.8</v>
      </c>
      <c r="H1741" t="s">
        <v>25</v>
      </c>
      <c r="I1741">
        <v>1</v>
      </c>
      <c r="J1741" t="s">
        <v>47</v>
      </c>
      <c r="K1741" t="s">
        <v>45</v>
      </c>
      <c r="L1741" t="s">
        <v>46</v>
      </c>
      <c r="M1741" t="s">
        <v>78</v>
      </c>
      <c r="N1741" s="15">
        <v>83.41</v>
      </c>
      <c r="O1741" s="16">
        <v>6.5</v>
      </c>
      <c r="P1741">
        <v>0</v>
      </c>
    </row>
    <row r="1742" spans="1:16" x14ac:dyDescent="0.3">
      <c r="A1742" t="s">
        <v>65</v>
      </c>
      <c r="B1742" t="s">
        <v>17</v>
      </c>
      <c r="C1742" t="s">
        <v>17</v>
      </c>
      <c r="D1742" t="s">
        <v>8</v>
      </c>
      <c r="E1742" t="s">
        <v>74</v>
      </c>
      <c r="F1742" t="s">
        <v>9</v>
      </c>
      <c r="G1742" s="15">
        <v>120</v>
      </c>
      <c r="H1742" t="s">
        <v>25</v>
      </c>
      <c r="I1742">
        <v>1</v>
      </c>
      <c r="J1742" t="s">
        <v>47</v>
      </c>
      <c r="K1742" t="s">
        <v>45</v>
      </c>
      <c r="L1742" t="s">
        <v>46</v>
      </c>
      <c r="M1742" t="s">
        <v>78</v>
      </c>
      <c r="N1742" s="15">
        <v>91.13</v>
      </c>
      <c r="O1742" s="16">
        <v>31.7</v>
      </c>
      <c r="P1742">
        <v>1</v>
      </c>
    </row>
    <row r="1743" spans="1:16" x14ac:dyDescent="0.3">
      <c r="A1743" t="s">
        <v>65</v>
      </c>
      <c r="B1743" t="s">
        <v>18</v>
      </c>
      <c r="C1743" t="s">
        <v>18</v>
      </c>
      <c r="D1743" t="s">
        <v>14</v>
      </c>
      <c r="E1743" t="s">
        <v>77</v>
      </c>
      <c r="F1743" t="s">
        <v>9</v>
      </c>
      <c r="G1743" s="15">
        <v>78.430000000000007</v>
      </c>
      <c r="H1743" t="s">
        <v>25</v>
      </c>
      <c r="I1743">
        <v>1</v>
      </c>
      <c r="J1743" t="s">
        <v>47</v>
      </c>
      <c r="K1743" t="s">
        <v>45</v>
      </c>
      <c r="L1743" t="s">
        <v>45</v>
      </c>
      <c r="M1743" t="s">
        <v>68</v>
      </c>
      <c r="N1743" s="15">
        <v>70.66</v>
      </c>
      <c r="O1743" s="16">
        <v>11</v>
      </c>
      <c r="P1743">
        <v>0</v>
      </c>
    </row>
    <row r="1744" spans="1:16" x14ac:dyDescent="0.3">
      <c r="A1744" t="s">
        <v>65</v>
      </c>
      <c r="B1744" t="s">
        <v>19</v>
      </c>
      <c r="C1744" t="s">
        <v>19</v>
      </c>
      <c r="D1744" t="s">
        <v>11</v>
      </c>
      <c r="E1744" t="s">
        <v>70</v>
      </c>
      <c r="F1744" t="s">
        <v>9</v>
      </c>
      <c r="G1744" s="15">
        <v>22.13</v>
      </c>
      <c r="H1744" t="s">
        <v>26</v>
      </c>
      <c r="I1744">
        <v>2</v>
      </c>
      <c r="J1744" t="s">
        <v>48</v>
      </c>
      <c r="K1744" t="s">
        <v>46</v>
      </c>
      <c r="L1744" t="s">
        <v>45</v>
      </c>
      <c r="M1744" t="s">
        <v>61</v>
      </c>
      <c r="N1744" s="15">
        <v>32.630000000000003</v>
      </c>
      <c r="O1744" s="16">
        <v>-32.200000000000003</v>
      </c>
      <c r="P1744">
        <v>0</v>
      </c>
    </row>
    <row r="1745" spans="1:16" x14ac:dyDescent="0.3">
      <c r="A1745" t="s">
        <v>65</v>
      </c>
      <c r="B1745" t="s">
        <v>20</v>
      </c>
      <c r="C1745" t="s">
        <v>20</v>
      </c>
      <c r="D1745" t="s">
        <v>12</v>
      </c>
      <c r="E1745" t="s">
        <v>66</v>
      </c>
      <c r="F1745" t="s">
        <v>13</v>
      </c>
      <c r="G1745" s="15">
        <v>145.38999999999999</v>
      </c>
      <c r="H1745" t="s">
        <v>26</v>
      </c>
      <c r="I1745">
        <v>2</v>
      </c>
      <c r="J1745" t="s">
        <v>47</v>
      </c>
      <c r="K1745" t="s">
        <v>45</v>
      </c>
      <c r="L1745" t="s">
        <v>45</v>
      </c>
      <c r="M1745" t="s">
        <v>78</v>
      </c>
      <c r="N1745" s="15">
        <v>178.49</v>
      </c>
      <c r="O1745" s="16">
        <v>-18.5</v>
      </c>
      <c r="P1745">
        <v>0</v>
      </c>
    </row>
    <row r="1746" spans="1:16" x14ac:dyDescent="0.3">
      <c r="A1746" t="s">
        <v>60</v>
      </c>
      <c r="B1746" t="s">
        <v>21</v>
      </c>
      <c r="C1746" t="s">
        <v>62</v>
      </c>
      <c r="D1746" t="s">
        <v>8</v>
      </c>
      <c r="E1746" t="s">
        <v>73</v>
      </c>
      <c r="F1746" t="s">
        <v>9</v>
      </c>
      <c r="G1746" s="15">
        <v>88.86</v>
      </c>
      <c r="H1746" t="s">
        <v>26</v>
      </c>
      <c r="I1746">
        <v>2</v>
      </c>
      <c r="J1746" t="s">
        <v>48</v>
      </c>
      <c r="K1746" t="s">
        <v>46</v>
      </c>
      <c r="L1746" t="s">
        <v>45</v>
      </c>
      <c r="M1746" t="s">
        <v>61</v>
      </c>
      <c r="N1746" s="15">
        <v>82.04</v>
      </c>
      <c r="O1746" s="16">
        <v>8.3000000000000007</v>
      </c>
      <c r="P1746">
        <v>0</v>
      </c>
    </row>
    <row r="1747" spans="1:16" x14ac:dyDescent="0.3">
      <c r="A1747" t="s">
        <v>57</v>
      </c>
      <c r="B1747" t="s">
        <v>19</v>
      </c>
      <c r="C1747" t="s">
        <v>19</v>
      </c>
      <c r="D1747" t="s">
        <v>8</v>
      </c>
      <c r="E1747" t="s">
        <v>74</v>
      </c>
      <c r="F1747" t="s">
        <v>9</v>
      </c>
      <c r="G1747" s="15">
        <v>76.77</v>
      </c>
      <c r="H1747" t="s">
        <v>26</v>
      </c>
      <c r="I1747">
        <v>2</v>
      </c>
      <c r="J1747" t="s">
        <v>48</v>
      </c>
      <c r="K1747" t="s">
        <v>46</v>
      </c>
      <c r="L1747" t="s">
        <v>46</v>
      </c>
      <c r="M1747" t="s">
        <v>64</v>
      </c>
      <c r="N1747" s="15">
        <v>83.41</v>
      </c>
      <c r="O1747" s="16">
        <v>-8</v>
      </c>
      <c r="P1747">
        <v>0</v>
      </c>
    </row>
    <row r="1748" spans="1:16" x14ac:dyDescent="0.3">
      <c r="A1748" t="s">
        <v>65</v>
      </c>
      <c r="B1748" t="s">
        <v>21</v>
      </c>
      <c r="C1748" t="s">
        <v>62</v>
      </c>
      <c r="D1748" t="s">
        <v>10</v>
      </c>
      <c r="E1748" t="s">
        <v>69</v>
      </c>
      <c r="F1748" t="s">
        <v>9</v>
      </c>
      <c r="G1748" s="15">
        <v>142.16999999999999</v>
      </c>
      <c r="H1748" t="s">
        <v>26</v>
      </c>
      <c r="I1748">
        <v>2</v>
      </c>
      <c r="J1748" t="s">
        <v>48</v>
      </c>
      <c r="K1748" t="s">
        <v>45</v>
      </c>
      <c r="L1748" t="s">
        <v>45</v>
      </c>
      <c r="M1748" t="s">
        <v>78</v>
      </c>
      <c r="N1748" s="15">
        <v>158.91999999999999</v>
      </c>
      <c r="O1748" s="16">
        <v>-10.5</v>
      </c>
      <c r="P1748">
        <v>0</v>
      </c>
    </row>
    <row r="1749" spans="1:16" x14ac:dyDescent="0.3">
      <c r="A1749" t="s">
        <v>65</v>
      </c>
      <c r="B1749" t="s">
        <v>18</v>
      </c>
      <c r="C1749" t="s">
        <v>18</v>
      </c>
      <c r="D1749" t="s">
        <v>14</v>
      </c>
      <c r="E1749" t="s">
        <v>77</v>
      </c>
      <c r="F1749" t="s">
        <v>9</v>
      </c>
      <c r="G1749" s="15">
        <v>80</v>
      </c>
      <c r="H1749" t="s">
        <v>25</v>
      </c>
      <c r="I1749">
        <v>1</v>
      </c>
      <c r="J1749" t="s">
        <v>47</v>
      </c>
      <c r="K1749" t="s">
        <v>45</v>
      </c>
      <c r="L1749" t="s">
        <v>45</v>
      </c>
      <c r="M1749" t="s">
        <v>59</v>
      </c>
      <c r="N1749" s="15">
        <v>70.66</v>
      </c>
      <c r="O1749" s="16">
        <v>13.2</v>
      </c>
      <c r="P1749">
        <v>0</v>
      </c>
    </row>
    <row r="1750" spans="1:16" x14ac:dyDescent="0.3">
      <c r="A1750" t="s">
        <v>65</v>
      </c>
      <c r="B1750" t="s">
        <v>21</v>
      </c>
      <c r="C1750" t="s">
        <v>62</v>
      </c>
      <c r="D1750" t="s">
        <v>8</v>
      </c>
      <c r="E1750" t="s">
        <v>73</v>
      </c>
      <c r="F1750" t="s">
        <v>9</v>
      </c>
      <c r="G1750" s="15">
        <v>71.180000000000007</v>
      </c>
      <c r="H1750" t="s">
        <v>26</v>
      </c>
      <c r="I1750">
        <v>2</v>
      </c>
      <c r="J1750" t="s">
        <v>47</v>
      </c>
      <c r="K1750" t="s">
        <v>45</v>
      </c>
      <c r="L1750" t="s">
        <v>45</v>
      </c>
      <c r="M1750" t="s">
        <v>68</v>
      </c>
      <c r="N1750" s="15">
        <v>88.05</v>
      </c>
      <c r="O1750" s="16">
        <v>-19.2</v>
      </c>
      <c r="P1750">
        <v>0</v>
      </c>
    </row>
    <row r="1751" spans="1:16" x14ac:dyDescent="0.3">
      <c r="A1751" t="s">
        <v>65</v>
      </c>
      <c r="B1751" t="s">
        <v>17</v>
      </c>
      <c r="C1751" t="s">
        <v>17</v>
      </c>
      <c r="D1751" t="s">
        <v>11</v>
      </c>
      <c r="E1751" t="s">
        <v>79</v>
      </c>
      <c r="F1751" t="s">
        <v>9</v>
      </c>
      <c r="G1751" s="15">
        <v>35.299999999999997</v>
      </c>
      <c r="H1751" t="s">
        <v>26</v>
      </c>
      <c r="I1751">
        <v>2</v>
      </c>
      <c r="J1751" t="s">
        <v>47</v>
      </c>
      <c r="K1751" t="s">
        <v>45</v>
      </c>
      <c r="L1751" t="s">
        <v>46</v>
      </c>
      <c r="M1751" t="s">
        <v>67</v>
      </c>
      <c r="N1751" s="15">
        <v>33.39</v>
      </c>
      <c r="O1751" s="16">
        <v>5.7</v>
      </c>
      <c r="P1751">
        <v>0</v>
      </c>
    </row>
    <row r="1752" spans="1:16" x14ac:dyDescent="0.3">
      <c r="A1752" t="s">
        <v>60</v>
      </c>
      <c r="B1752" t="s">
        <v>22</v>
      </c>
      <c r="C1752" t="s">
        <v>22</v>
      </c>
      <c r="D1752" t="s">
        <v>11</v>
      </c>
      <c r="E1752" t="s">
        <v>70</v>
      </c>
      <c r="F1752" t="s">
        <v>9</v>
      </c>
      <c r="G1752" s="15">
        <v>31.07</v>
      </c>
      <c r="H1752" t="s">
        <v>26</v>
      </c>
      <c r="I1752">
        <v>2</v>
      </c>
      <c r="J1752" t="s">
        <v>48</v>
      </c>
      <c r="K1752" t="s">
        <v>45</v>
      </c>
      <c r="L1752" t="s">
        <v>45</v>
      </c>
      <c r="M1752" t="s">
        <v>67</v>
      </c>
      <c r="N1752" s="15">
        <v>31.4</v>
      </c>
      <c r="O1752" s="16">
        <v>-1.1000000000000001</v>
      </c>
      <c r="P1752">
        <v>0</v>
      </c>
    </row>
    <row r="1753" spans="1:16" x14ac:dyDescent="0.3">
      <c r="A1753" t="s">
        <v>57</v>
      </c>
      <c r="B1753" t="s">
        <v>19</v>
      </c>
      <c r="C1753" t="s">
        <v>19</v>
      </c>
      <c r="D1753" t="s">
        <v>10</v>
      </c>
      <c r="E1753" t="s">
        <v>58</v>
      </c>
      <c r="F1753" t="s">
        <v>9</v>
      </c>
      <c r="G1753" s="15">
        <v>164.93</v>
      </c>
      <c r="H1753" t="s">
        <v>26</v>
      </c>
      <c r="I1753">
        <v>2</v>
      </c>
      <c r="J1753" t="s">
        <v>48</v>
      </c>
      <c r="K1753" t="s">
        <v>45</v>
      </c>
      <c r="L1753" t="s">
        <v>46</v>
      </c>
      <c r="M1753" t="s">
        <v>59</v>
      </c>
      <c r="N1753" s="15">
        <v>151.19</v>
      </c>
      <c r="O1753" s="16">
        <v>9.1</v>
      </c>
      <c r="P1753">
        <v>0</v>
      </c>
    </row>
    <row r="1754" spans="1:16" x14ac:dyDescent="0.3">
      <c r="A1754" t="s">
        <v>65</v>
      </c>
      <c r="B1754" t="s">
        <v>22</v>
      </c>
      <c r="C1754" t="s">
        <v>22</v>
      </c>
      <c r="D1754" t="s">
        <v>15</v>
      </c>
      <c r="E1754" t="s">
        <v>75</v>
      </c>
      <c r="F1754" t="s">
        <v>9</v>
      </c>
      <c r="G1754" s="15">
        <v>119.96</v>
      </c>
      <c r="H1754" t="s">
        <v>27</v>
      </c>
      <c r="I1754">
        <v>3</v>
      </c>
      <c r="J1754" t="s">
        <v>44</v>
      </c>
      <c r="K1754" t="s">
        <v>45</v>
      </c>
      <c r="L1754" t="s">
        <v>45</v>
      </c>
      <c r="M1754" t="s">
        <v>78</v>
      </c>
      <c r="N1754" s="15">
        <v>126.9</v>
      </c>
      <c r="O1754" s="16">
        <v>-5.5</v>
      </c>
      <c r="P1754">
        <v>0</v>
      </c>
    </row>
    <row r="1755" spans="1:16" x14ac:dyDescent="0.3">
      <c r="A1755" t="s">
        <v>65</v>
      </c>
      <c r="B1755" t="s">
        <v>22</v>
      </c>
      <c r="C1755" t="s">
        <v>22</v>
      </c>
      <c r="D1755" t="s">
        <v>8</v>
      </c>
      <c r="E1755" t="s">
        <v>74</v>
      </c>
      <c r="F1755" t="s">
        <v>9</v>
      </c>
      <c r="G1755" s="15">
        <v>103.48</v>
      </c>
      <c r="H1755" t="s">
        <v>26</v>
      </c>
      <c r="I1755">
        <v>2</v>
      </c>
      <c r="J1755" t="s">
        <v>48</v>
      </c>
      <c r="K1755" t="s">
        <v>45</v>
      </c>
      <c r="L1755" t="s">
        <v>46</v>
      </c>
      <c r="M1755" t="s">
        <v>72</v>
      </c>
      <c r="N1755" s="15">
        <v>91.13</v>
      </c>
      <c r="O1755" s="16">
        <v>13.6</v>
      </c>
      <c r="P1755">
        <v>0</v>
      </c>
    </row>
    <row r="1756" spans="1:16" x14ac:dyDescent="0.3">
      <c r="A1756" t="s">
        <v>60</v>
      </c>
      <c r="B1756" t="s">
        <v>19</v>
      </c>
      <c r="C1756" t="s">
        <v>19</v>
      </c>
      <c r="D1756" t="s">
        <v>11</v>
      </c>
      <c r="E1756" t="s">
        <v>70</v>
      </c>
      <c r="F1756" t="s">
        <v>9</v>
      </c>
      <c r="G1756" s="15">
        <v>30.88</v>
      </c>
      <c r="H1756" t="s">
        <v>26</v>
      </c>
      <c r="I1756">
        <v>2</v>
      </c>
      <c r="J1756" t="s">
        <v>48</v>
      </c>
      <c r="K1756" t="s">
        <v>45</v>
      </c>
      <c r="L1756" t="s">
        <v>45</v>
      </c>
      <c r="M1756" t="s">
        <v>59</v>
      </c>
      <c r="N1756" s="15">
        <v>31.4</v>
      </c>
      <c r="O1756" s="16">
        <v>-1.7</v>
      </c>
      <c r="P1756">
        <v>0</v>
      </c>
    </row>
    <row r="1757" spans="1:16" x14ac:dyDescent="0.3">
      <c r="A1757" t="s">
        <v>65</v>
      </c>
      <c r="B1757" t="s">
        <v>18</v>
      </c>
      <c r="C1757" t="s">
        <v>18</v>
      </c>
      <c r="D1757" t="s">
        <v>14</v>
      </c>
      <c r="E1757" t="s">
        <v>77</v>
      </c>
      <c r="F1757" t="s">
        <v>9</v>
      </c>
      <c r="G1757" s="15">
        <v>57.25</v>
      </c>
      <c r="H1757" t="s">
        <v>27</v>
      </c>
      <c r="I1757">
        <v>3</v>
      </c>
      <c r="J1757" t="s">
        <v>48</v>
      </c>
      <c r="K1757" t="s">
        <v>46</v>
      </c>
      <c r="L1757" t="s">
        <v>45</v>
      </c>
      <c r="M1757" t="s">
        <v>64</v>
      </c>
      <c r="N1757" s="15">
        <v>70.66</v>
      </c>
      <c r="O1757" s="16">
        <v>-19</v>
      </c>
      <c r="P1757">
        <v>0</v>
      </c>
    </row>
    <row r="1758" spans="1:16" x14ac:dyDescent="0.3">
      <c r="A1758" t="s">
        <v>65</v>
      </c>
      <c r="B1758" t="s">
        <v>21</v>
      </c>
      <c r="C1758" t="s">
        <v>62</v>
      </c>
      <c r="D1758" t="s">
        <v>14</v>
      </c>
      <c r="E1758" t="s">
        <v>63</v>
      </c>
      <c r="F1758" t="s">
        <v>9</v>
      </c>
      <c r="G1758" s="15">
        <v>56.97</v>
      </c>
      <c r="H1758" t="s">
        <v>26</v>
      </c>
      <c r="I1758">
        <v>2</v>
      </c>
      <c r="J1758" t="s">
        <v>47</v>
      </c>
      <c r="K1758" t="s">
        <v>46</v>
      </c>
      <c r="L1758" t="s">
        <v>45</v>
      </c>
      <c r="M1758" t="s">
        <v>59</v>
      </c>
      <c r="N1758" s="15">
        <v>68.150000000000006</v>
      </c>
      <c r="O1758" s="16">
        <v>-16.399999999999999</v>
      </c>
      <c r="P1758">
        <v>0</v>
      </c>
    </row>
    <row r="1759" spans="1:16" x14ac:dyDescent="0.3">
      <c r="A1759" t="s">
        <v>57</v>
      </c>
      <c r="B1759" t="s">
        <v>22</v>
      </c>
      <c r="C1759" t="s">
        <v>22</v>
      </c>
      <c r="D1759" t="s">
        <v>10</v>
      </c>
      <c r="E1759" t="s">
        <v>69</v>
      </c>
      <c r="F1759" t="s">
        <v>9</v>
      </c>
      <c r="G1759" s="15">
        <v>164.02</v>
      </c>
      <c r="H1759" t="s">
        <v>26</v>
      </c>
      <c r="I1759">
        <v>2</v>
      </c>
      <c r="J1759" t="s">
        <v>48</v>
      </c>
      <c r="K1759" t="s">
        <v>45</v>
      </c>
      <c r="L1759" t="s">
        <v>45</v>
      </c>
      <c r="M1759" t="s">
        <v>78</v>
      </c>
      <c r="N1759" s="15">
        <v>150.38999999999999</v>
      </c>
      <c r="O1759" s="16">
        <v>9.1</v>
      </c>
      <c r="P1759">
        <v>0</v>
      </c>
    </row>
    <row r="1760" spans="1:16" x14ac:dyDescent="0.3">
      <c r="A1760" t="s">
        <v>65</v>
      </c>
      <c r="B1760" t="s">
        <v>19</v>
      </c>
      <c r="C1760" t="s">
        <v>19</v>
      </c>
      <c r="D1760" t="s">
        <v>12</v>
      </c>
      <c r="E1760" t="s">
        <v>66</v>
      </c>
      <c r="F1760" t="s">
        <v>13</v>
      </c>
      <c r="G1760" s="15">
        <v>161.46</v>
      </c>
      <c r="H1760" t="s">
        <v>26</v>
      </c>
      <c r="I1760">
        <v>2</v>
      </c>
      <c r="J1760" t="s">
        <v>48</v>
      </c>
      <c r="K1760" t="s">
        <v>45</v>
      </c>
      <c r="L1760" t="s">
        <v>45</v>
      </c>
      <c r="M1760" t="s">
        <v>59</v>
      </c>
      <c r="N1760" s="15">
        <v>178.49</v>
      </c>
      <c r="O1760" s="16">
        <v>-9.5</v>
      </c>
      <c r="P1760">
        <v>0</v>
      </c>
    </row>
    <row r="1761" spans="1:16" x14ac:dyDescent="0.3">
      <c r="A1761" t="s">
        <v>60</v>
      </c>
      <c r="B1761" t="s">
        <v>19</v>
      </c>
      <c r="C1761" t="s">
        <v>19</v>
      </c>
      <c r="D1761" t="s">
        <v>15</v>
      </c>
      <c r="E1761" t="s">
        <v>76</v>
      </c>
      <c r="F1761" t="s">
        <v>9</v>
      </c>
      <c r="G1761" s="15">
        <v>123.39</v>
      </c>
      <c r="H1761" t="s">
        <v>26</v>
      </c>
      <c r="I1761">
        <v>2</v>
      </c>
      <c r="J1761" t="s">
        <v>48</v>
      </c>
      <c r="K1761" t="s">
        <v>45</v>
      </c>
      <c r="L1761" t="s">
        <v>45</v>
      </c>
      <c r="M1761" t="s">
        <v>68</v>
      </c>
      <c r="N1761" s="15">
        <v>116.32</v>
      </c>
      <c r="O1761" s="16">
        <v>6.1</v>
      </c>
      <c r="P1761">
        <v>0</v>
      </c>
    </row>
    <row r="1762" spans="1:16" x14ac:dyDescent="0.3">
      <c r="A1762" t="s">
        <v>65</v>
      </c>
      <c r="B1762" t="s">
        <v>22</v>
      </c>
      <c r="C1762" t="s">
        <v>22</v>
      </c>
      <c r="D1762" t="s">
        <v>14</v>
      </c>
      <c r="E1762" t="s">
        <v>71</v>
      </c>
      <c r="F1762" t="s">
        <v>9</v>
      </c>
      <c r="G1762" s="15">
        <v>68.44</v>
      </c>
      <c r="H1762" t="s">
        <v>26</v>
      </c>
      <c r="I1762">
        <v>2</v>
      </c>
      <c r="J1762" t="s">
        <v>47</v>
      </c>
      <c r="K1762" t="s">
        <v>45</v>
      </c>
      <c r="L1762" t="s">
        <v>45</v>
      </c>
      <c r="M1762" t="s">
        <v>68</v>
      </c>
      <c r="N1762" s="15">
        <v>71.77</v>
      </c>
      <c r="O1762" s="16">
        <v>-4.5999999999999996</v>
      </c>
      <c r="P1762">
        <v>0</v>
      </c>
    </row>
    <row r="1763" spans="1:16" x14ac:dyDescent="0.3">
      <c r="A1763" t="s">
        <v>65</v>
      </c>
      <c r="B1763" t="s">
        <v>19</v>
      </c>
      <c r="C1763" t="s">
        <v>19</v>
      </c>
      <c r="D1763" t="s">
        <v>14</v>
      </c>
      <c r="E1763" t="s">
        <v>71</v>
      </c>
      <c r="F1763" t="s">
        <v>9</v>
      </c>
      <c r="G1763" s="15">
        <v>71.709999999999994</v>
      </c>
      <c r="H1763" t="s">
        <v>26</v>
      </c>
      <c r="I1763">
        <v>2</v>
      </c>
      <c r="J1763" t="s">
        <v>44</v>
      </c>
      <c r="K1763" t="s">
        <v>45</v>
      </c>
      <c r="L1763" t="s">
        <v>45</v>
      </c>
      <c r="M1763" t="s">
        <v>61</v>
      </c>
      <c r="N1763" s="15">
        <v>71.77</v>
      </c>
      <c r="O1763" s="16">
        <v>-0.1</v>
      </c>
      <c r="P1763">
        <v>0</v>
      </c>
    </row>
    <row r="1764" spans="1:16" x14ac:dyDescent="0.3">
      <c r="A1764" t="s">
        <v>65</v>
      </c>
      <c r="B1764" t="s">
        <v>17</v>
      </c>
      <c r="C1764" t="s">
        <v>17</v>
      </c>
      <c r="D1764" t="s">
        <v>8</v>
      </c>
      <c r="E1764" t="s">
        <v>74</v>
      </c>
      <c r="F1764" t="s">
        <v>9</v>
      </c>
      <c r="G1764" s="15">
        <v>74.77</v>
      </c>
      <c r="H1764" t="s">
        <v>27</v>
      </c>
      <c r="I1764">
        <v>3</v>
      </c>
      <c r="J1764" t="s">
        <v>47</v>
      </c>
      <c r="K1764" t="s">
        <v>46</v>
      </c>
      <c r="L1764" t="s">
        <v>45</v>
      </c>
      <c r="M1764" t="s">
        <v>72</v>
      </c>
      <c r="N1764" s="15">
        <v>91.13</v>
      </c>
      <c r="O1764" s="16">
        <v>-18</v>
      </c>
      <c r="P1764">
        <v>0</v>
      </c>
    </row>
    <row r="1765" spans="1:16" x14ac:dyDescent="0.3">
      <c r="A1765" t="s">
        <v>57</v>
      </c>
      <c r="B1765" t="s">
        <v>22</v>
      </c>
      <c r="C1765" t="s">
        <v>22</v>
      </c>
      <c r="D1765" t="s">
        <v>12</v>
      </c>
      <c r="E1765" t="s">
        <v>66</v>
      </c>
      <c r="F1765" t="s">
        <v>13</v>
      </c>
      <c r="G1765" s="15">
        <v>161.63999999999999</v>
      </c>
      <c r="H1765" t="s">
        <v>26</v>
      </c>
      <c r="I1765">
        <v>2</v>
      </c>
      <c r="J1765" t="s">
        <v>48</v>
      </c>
      <c r="K1765" t="s">
        <v>45</v>
      </c>
      <c r="L1765" t="s">
        <v>46</v>
      </c>
      <c r="M1765" t="s">
        <v>67</v>
      </c>
      <c r="N1765" s="15">
        <v>170.56</v>
      </c>
      <c r="O1765" s="16">
        <v>-5.2</v>
      </c>
      <c r="P1765">
        <v>0</v>
      </c>
    </row>
    <row r="1766" spans="1:16" x14ac:dyDescent="0.3">
      <c r="A1766" t="s">
        <v>65</v>
      </c>
      <c r="B1766" t="s">
        <v>21</v>
      </c>
      <c r="C1766" t="s">
        <v>62</v>
      </c>
      <c r="D1766" t="s">
        <v>8</v>
      </c>
      <c r="E1766" t="s">
        <v>74</v>
      </c>
      <c r="F1766" t="s">
        <v>9</v>
      </c>
      <c r="G1766" s="15">
        <v>73.78</v>
      </c>
      <c r="H1766" t="s">
        <v>26</v>
      </c>
      <c r="I1766">
        <v>2</v>
      </c>
      <c r="J1766" t="s">
        <v>47</v>
      </c>
      <c r="K1766" t="s">
        <v>46</v>
      </c>
      <c r="L1766" t="s">
        <v>46</v>
      </c>
      <c r="M1766" t="s">
        <v>72</v>
      </c>
      <c r="N1766" s="15">
        <v>91.13</v>
      </c>
      <c r="O1766" s="16">
        <v>-19</v>
      </c>
      <c r="P1766">
        <v>0</v>
      </c>
    </row>
    <row r="1767" spans="1:16" x14ac:dyDescent="0.3">
      <c r="A1767" t="s">
        <v>65</v>
      </c>
      <c r="B1767" t="s">
        <v>19</v>
      </c>
      <c r="C1767" t="s">
        <v>19</v>
      </c>
      <c r="D1767" t="s">
        <v>10</v>
      </c>
      <c r="E1767" t="s">
        <v>69</v>
      </c>
      <c r="F1767" t="s">
        <v>9</v>
      </c>
      <c r="G1767" s="15">
        <v>144.04</v>
      </c>
      <c r="H1767" t="s">
        <v>26</v>
      </c>
      <c r="I1767">
        <v>2</v>
      </c>
      <c r="J1767" t="s">
        <v>47</v>
      </c>
      <c r="K1767" t="s">
        <v>45</v>
      </c>
      <c r="L1767" t="s">
        <v>45</v>
      </c>
      <c r="M1767" t="s">
        <v>78</v>
      </c>
      <c r="N1767" s="15">
        <v>158.91999999999999</v>
      </c>
      <c r="O1767" s="16">
        <v>-9.4</v>
      </c>
      <c r="P1767">
        <v>0</v>
      </c>
    </row>
    <row r="1768" spans="1:16" x14ac:dyDescent="0.3">
      <c r="A1768" t="s">
        <v>60</v>
      </c>
      <c r="B1768" t="s">
        <v>19</v>
      </c>
      <c r="C1768" t="s">
        <v>19</v>
      </c>
      <c r="D1768" t="s">
        <v>11</v>
      </c>
      <c r="E1768" t="s">
        <v>70</v>
      </c>
      <c r="F1768" t="s">
        <v>9</v>
      </c>
      <c r="G1768" s="15">
        <v>32.799999999999997</v>
      </c>
      <c r="H1768" t="s">
        <v>25</v>
      </c>
      <c r="I1768">
        <v>1</v>
      </c>
      <c r="J1768" t="s">
        <v>48</v>
      </c>
      <c r="K1768" t="s">
        <v>45</v>
      </c>
      <c r="L1768" t="s">
        <v>45</v>
      </c>
      <c r="M1768" t="s">
        <v>61</v>
      </c>
      <c r="N1768" s="15">
        <v>31.4</v>
      </c>
      <c r="O1768" s="16">
        <v>4.5</v>
      </c>
      <c r="P1768">
        <v>0</v>
      </c>
    </row>
    <row r="1769" spans="1:16" x14ac:dyDescent="0.3">
      <c r="A1769" t="s">
        <v>57</v>
      </c>
      <c r="B1769" t="s">
        <v>21</v>
      </c>
      <c r="C1769" t="s">
        <v>62</v>
      </c>
      <c r="D1769" t="s">
        <v>11</v>
      </c>
      <c r="E1769" t="s">
        <v>70</v>
      </c>
      <c r="F1769" t="s">
        <v>9</v>
      </c>
      <c r="G1769" s="15">
        <v>30.64</v>
      </c>
      <c r="H1769" t="s">
        <v>27</v>
      </c>
      <c r="I1769">
        <v>3</v>
      </c>
      <c r="J1769" t="s">
        <v>48</v>
      </c>
      <c r="K1769" t="s">
        <v>45</v>
      </c>
      <c r="L1769" t="s">
        <v>45</v>
      </c>
      <c r="M1769" t="s">
        <v>67</v>
      </c>
      <c r="N1769" s="15">
        <v>30.5</v>
      </c>
      <c r="O1769" s="16">
        <v>0.5</v>
      </c>
      <c r="P1769">
        <v>0</v>
      </c>
    </row>
    <row r="1770" spans="1:16" x14ac:dyDescent="0.3">
      <c r="A1770" t="s">
        <v>57</v>
      </c>
      <c r="B1770" t="s">
        <v>17</v>
      </c>
      <c r="C1770" t="s">
        <v>17</v>
      </c>
      <c r="D1770" t="s">
        <v>14</v>
      </c>
      <c r="E1770" t="s">
        <v>63</v>
      </c>
      <c r="F1770" t="s">
        <v>9</v>
      </c>
      <c r="G1770" s="15">
        <v>69.069999999999993</v>
      </c>
      <c r="H1770" t="s">
        <v>26</v>
      </c>
      <c r="I1770">
        <v>2</v>
      </c>
      <c r="J1770" t="s">
        <v>48</v>
      </c>
      <c r="K1770" t="s">
        <v>46</v>
      </c>
      <c r="L1770" t="s">
        <v>46</v>
      </c>
      <c r="M1770" t="s">
        <v>67</v>
      </c>
      <c r="N1770" s="15">
        <v>65.16</v>
      </c>
      <c r="O1770" s="16">
        <v>6</v>
      </c>
      <c r="P1770">
        <v>0</v>
      </c>
    </row>
    <row r="1771" spans="1:16" x14ac:dyDescent="0.3">
      <c r="A1771" t="s">
        <v>65</v>
      </c>
      <c r="B1771" t="s">
        <v>20</v>
      </c>
      <c r="C1771" t="s">
        <v>20</v>
      </c>
      <c r="D1771" t="s">
        <v>15</v>
      </c>
      <c r="E1771" t="s">
        <v>75</v>
      </c>
      <c r="F1771" t="s">
        <v>9</v>
      </c>
      <c r="G1771" s="15">
        <v>140</v>
      </c>
      <c r="H1771" t="s">
        <v>26</v>
      </c>
      <c r="I1771">
        <v>2</v>
      </c>
      <c r="J1771" t="s">
        <v>44</v>
      </c>
      <c r="K1771" t="s">
        <v>45</v>
      </c>
      <c r="L1771" t="s">
        <v>45</v>
      </c>
      <c r="M1771" t="s">
        <v>78</v>
      </c>
      <c r="N1771" s="15">
        <v>126.9</v>
      </c>
      <c r="O1771" s="16">
        <v>10.3</v>
      </c>
      <c r="P1771">
        <v>0</v>
      </c>
    </row>
    <row r="1772" spans="1:16" x14ac:dyDescent="0.3">
      <c r="A1772" t="s">
        <v>60</v>
      </c>
      <c r="B1772" t="s">
        <v>22</v>
      </c>
      <c r="C1772" t="s">
        <v>22</v>
      </c>
      <c r="D1772" t="s">
        <v>11</v>
      </c>
      <c r="E1772" t="s">
        <v>79</v>
      </c>
      <c r="F1772" t="s">
        <v>9</v>
      </c>
      <c r="G1772" s="15">
        <v>29.45</v>
      </c>
      <c r="H1772" t="s">
        <v>26</v>
      </c>
      <c r="I1772">
        <v>2</v>
      </c>
      <c r="J1772" t="s">
        <v>48</v>
      </c>
      <c r="K1772" t="s">
        <v>46</v>
      </c>
      <c r="L1772" t="s">
        <v>45</v>
      </c>
      <c r="M1772" t="s">
        <v>72</v>
      </c>
      <c r="N1772" s="15">
        <v>29.14</v>
      </c>
      <c r="O1772" s="16">
        <v>1</v>
      </c>
      <c r="P1772">
        <v>0</v>
      </c>
    </row>
    <row r="1773" spans="1:16" x14ac:dyDescent="0.3">
      <c r="A1773" t="s">
        <v>65</v>
      </c>
      <c r="B1773" t="s">
        <v>18</v>
      </c>
      <c r="C1773" t="s">
        <v>18</v>
      </c>
      <c r="D1773" t="s">
        <v>12</v>
      </c>
      <c r="E1773" t="s">
        <v>66</v>
      </c>
      <c r="F1773" t="s">
        <v>13</v>
      </c>
      <c r="G1773" s="15">
        <v>196.84</v>
      </c>
      <c r="H1773" t="s">
        <v>26</v>
      </c>
      <c r="I1773">
        <v>2</v>
      </c>
      <c r="J1773" t="s">
        <v>44</v>
      </c>
      <c r="K1773" t="s">
        <v>45</v>
      </c>
      <c r="L1773" t="s">
        <v>45</v>
      </c>
      <c r="M1773" t="s">
        <v>78</v>
      </c>
      <c r="N1773" s="15">
        <v>178.49</v>
      </c>
      <c r="O1773" s="16">
        <v>10.3</v>
      </c>
      <c r="P1773">
        <v>0</v>
      </c>
    </row>
    <row r="1774" spans="1:16" x14ac:dyDescent="0.3">
      <c r="A1774" t="s">
        <v>57</v>
      </c>
      <c r="B1774" t="s">
        <v>21</v>
      </c>
      <c r="C1774" t="s">
        <v>62</v>
      </c>
      <c r="D1774" t="s">
        <v>14</v>
      </c>
      <c r="E1774" t="s">
        <v>77</v>
      </c>
      <c r="F1774" t="s">
        <v>9</v>
      </c>
      <c r="G1774" s="15">
        <v>57.21</v>
      </c>
      <c r="H1774" t="s">
        <v>26</v>
      </c>
      <c r="I1774">
        <v>2</v>
      </c>
      <c r="J1774" t="s">
        <v>47</v>
      </c>
      <c r="K1774" t="s">
        <v>46</v>
      </c>
      <c r="L1774" t="s">
        <v>45</v>
      </c>
      <c r="M1774" t="s">
        <v>78</v>
      </c>
      <c r="N1774" s="15">
        <v>65.97</v>
      </c>
      <c r="O1774" s="16">
        <v>-13.3</v>
      </c>
      <c r="P1774">
        <v>0</v>
      </c>
    </row>
    <row r="1775" spans="1:16" x14ac:dyDescent="0.3">
      <c r="A1775" t="s">
        <v>60</v>
      </c>
      <c r="B1775" t="s">
        <v>22</v>
      </c>
      <c r="C1775" t="s">
        <v>22</v>
      </c>
      <c r="D1775" t="s">
        <v>10</v>
      </c>
      <c r="E1775" t="s">
        <v>58</v>
      </c>
      <c r="F1775" t="s">
        <v>9</v>
      </c>
      <c r="G1775" s="15">
        <v>156.02000000000001</v>
      </c>
      <c r="H1775" t="s">
        <v>26</v>
      </c>
      <c r="I1775">
        <v>2</v>
      </c>
      <c r="J1775" t="s">
        <v>47</v>
      </c>
      <c r="K1775" t="s">
        <v>46</v>
      </c>
      <c r="L1775" t="s">
        <v>45</v>
      </c>
      <c r="M1775" t="s">
        <v>78</v>
      </c>
      <c r="N1775" s="15">
        <v>152.03</v>
      </c>
      <c r="O1775" s="16">
        <v>2.6</v>
      </c>
      <c r="P1775">
        <v>0</v>
      </c>
    </row>
    <row r="1776" spans="1:16" x14ac:dyDescent="0.3">
      <c r="A1776" t="s">
        <v>65</v>
      </c>
      <c r="B1776" t="s">
        <v>18</v>
      </c>
      <c r="C1776" t="s">
        <v>18</v>
      </c>
      <c r="D1776" t="s">
        <v>12</v>
      </c>
      <c r="E1776" t="s">
        <v>80</v>
      </c>
      <c r="F1776" t="s">
        <v>13</v>
      </c>
      <c r="G1776" s="15">
        <v>165.99</v>
      </c>
      <c r="H1776" t="s">
        <v>26</v>
      </c>
      <c r="I1776">
        <v>2</v>
      </c>
      <c r="J1776" t="s">
        <v>47</v>
      </c>
      <c r="K1776" t="s">
        <v>45</v>
      </c>
      <c r="L1776" t="s">
        <v>45</v>
      </c>
      <c r="M1776" t="s">
        <v>68</v>
      </c>
      <c r="N1776" s="15">
        <v>176.57</v>
      </c>
      <c r="O1776" s="16">
        <v>-6</v>
      </c>
      <c r="P1776">
        <v>0</v>
      </c>
    </row>
    <row r="1777" spans="1:16" x14ac:dyDescent="0.3">
      <c r="A1777" t="s">
        <v>57</v>
      </c>
      <c r="B1777" t="s">
        <v>22</v>
      </c>
      <c r="C1777" t="s">
        <v>22</v>
      </c>
      <c r="D1777" t="s">
        <v>14</v>
      </c>
      <c r="E1777" t="s">
        <v>77</v>
      </c>
      <c r="F1777" t="s">
        <v>9</v>
      </c>
      <c r="G1777" s="15">
        <v>70.69</v>
      </c>
      <c r="H1777" t="s">
        <v>26</v>
      </c>
      <c r="I1777">
        <v>2</v>
      </c>
      <c r="J1777" t="s">
        <v>47</v>
      </c>
      <c r="K1777" t="s">
        <v>45</v>
      </c>
      <c r="L1777" t="s">
        <v>45</v>
      </c>
      <c r="M1777" t="s">
        <v>78</v>
      </c>
      <c r="N1777" s="15">
        <v>65.97</v>
      </c>
      <c r="O1777" s="16">
        <v>7.2</v>
      </c>
      <c r="P1777">
        <v>0</v>
      </c>
    </row>
    <row r="1778" spans="1:16" x14ac:dyDescent="0.3">
      <c r="A1778" t="s">
        <v>60</v>
      </c>
      <c r="B1778" t="s">
        <v>20</v>
      </c>
      <c r="C1778" t="s">
        <v>20</v>
      </c>
      <c r="D1778" t="s">
        <v>14</v>
      </c>
      <c r="E1778" t="s">
        <v>77</v>
      </c>
      <c r="F1778" t="s">
        <v>9</v>
      </c>
      <c r="G1778" s="15">
        <v>67.48</v>
      </c>
      <c r="H1778" t="s">
        <v>26</v>
      </c>
      <c r="I1778">
        <v>2</v>
      </c>
      <c r="J1778" t="s">
        <v>48</v>
      </c>
      <c r="K1778" t="s">
        <v>45</v>
      </c>
      <c r="L1778" t="s">
        <v>45</v>
      </c>
      <c r="M1778" t="s">
        <v>67</v>
      </c>
      <c r="N1778" s="15">
        <v>67.13</v>
      </c>
      <c r="O1778" s="16">
        <v>0.5</v>
      </c>
      <c r="P1778">
        <v>0</v>
      </c>
    </row>
    <row r="1779" spans="1:16" x14ac:dyDescent="0.3">
      <c r="A1779" t="s">
        <v>57</v>
      </c>
      <c r="B1779" t="s">
        <v>21</v>
      </c>
      <c r="C1779" t="s">
        <v>62</v>
      </c>
      <c r="D1779" t="s">
        <v>15</v>
      </c>
      <c r="E1779" t="s">
        <v>75</v>
      </c>
      <c r="F1779" t="s">
        <v>9</v>
      </c>
      <c r="G1779" s="15">
        <v>121.66</v>
      </c>
      <c r="H1779" t="s">
        <v>26</v>
      </c>
      <c r="I1779">
        <v>2</v>
      </c>
      <c r="J1779" t="s">
        <v>47</v>
      </c>
      <c r="K1779" t="s">
        <v>46</v>
      </c>
      <c r="L1779" t="s">
        <v>45</v>
      </c>
      <c r="M1779" t="s">
        <v>64</v>
      </c>
      <c r="N1779" s="15">
        <v>120.06</v>
      </c>
      <c r="O1779" s="16">
        <v>1.3</v>
      </c>
      <c r="P1779">
        <v>0</v>
      </c>
    </row>
    <row r="1780" spans="1:16" x14ac:dyDescent="0.3">
      <c r="A1780" t="s">
        <v>65</v>
      </c>
      <c r="B1780" t="s">
        <v>21</v>
      </c>
      <c r="C1780" t="s">
        <v>62</v>
      </c>
      <c r="D1780" t="s">
        <v>14</v>
      </c>
      <c r="E1780" t="s">
        <v>71</v>
      </c>
      <c r="F1780" t="s">
        <v>9</v>
      </c>
      <c r="G1780" s="15">
        <v>76.959999999999994</v>
      </c>
      <c r="H1780" t="s">
        <v>27</v>
      </c>
      <c r="I1780">
        <v>3</v>
      </c>
      <c r="J1780" t="s">
        <v>47</v>
      </c>
      <c r="K1780" t="s">
        <v>45</v>
      </c>
      <c r="L1780" t="s">
        <v>45</v>
      </c>
      <c r="M1780" t="s">
        <v>61</v>
      </c>
      <c r="N1780" s="15">
        <v>71.77</v>
      </c>
      <c r="O1780" s="16">
        <v>7.2</v>
      </c>
      <c r="P1780">
        <v>0</v>
      </c>
    </row>
    <row r="1781" spans="1:16" x14ac:dyDescent="0.3">
      <c r="A1781" t="s">
        <v>65</v>
      </c>
      <c r="B1781" t="s">
        <v>17</v>
      </c>
      <c r="C1781" t="s">
        <v>17</v>
      </c>
      <c r="D1781" t="s">
        <v>15</v>
      </c>
      <c r="E1781" t="s">
        <v>76</v>
      </c>
      <c r="F1781" t="s">
        <v>9</v>
      </c>
      <c r="G1781" s="15">
        <v>106.4</v>
      </c>
      <c r="H1781" t="s">
        <v>27</v>
      </c>
      <c r="I1781">
        <v>3</v>
      </c>
      <c r="J1781" t="s">
        <v>47</v>
      </c>
      <c r="K1781" t="s">
        <v>46</v>
      </c>
      <c r="L1781" t="s">
        <v>45</v>
      </c>
      <c r="M1781" t="s">
        <v>64</v>
      </c>
      <c r="N1781" s="15">
        <v>126.51</v>
      </c>
      <c r="O1781" s="16">
        <v>-15.9</v>
      </c>
      <c r="P1781">
        <v>0</v>
      </c>
    </row>
    <row r="1782" spans="1:16" x14ac:dyDescent="0.3">
      <c r="A1782" t="s">
        <v>57</v>
      </c>
      <c r="B1782" t="s">
        <v>17</v>
      </c>
      <c r="C1782" t="s">
        <v>17</v>
      </c>
      <c r="D1782" t="s">
        <v>14</v>
      </c>
      <c r="E1782" t="s">
        <v>77</v>
      </c>
      <c r="F1782" t="s">
        <v>9</v>
      </c>
      <c r="G1782" s="15">
        <v>57.56</v>
      </c>
      <c r="H1782" t="s">
        <v>26</v>
      </c>
      <c r="I1782">
        <v>2</v>
      </c>
      <c r="J1782" t="s">
        <v>48</v>
      </c>
      <c r="K1782" t="s">
        <v>45</v>
      </c>
      <c r="L1782" t="s">
        <v>45</v>
      </c>
      <c r="M1782" t="s">
        <v>64</v>
      </c>
      <c r="N1782" s="15">
        <v>65.97</v>
      </c>
      <c r="O1782" s="16">
        <v>-12.7</v>
      </c>
      <c r="P1782">
        <v>0</v>
      </c>
    </row>
    <row r="1783" spans="1:16" x14ac:dyDescent="0.3">
      <c r="A1783" t="s">
        <v>60</v>
      </c>
      <c r="B1783" t="s">
        <v>17</v>
      </c>
      <c r="C1783" t="s">
        <v>17</v>
      </c>
      <c r="D1783" t="s">
        <v>12</v>
      </c>
      <c r="E1783" t="s">
        <v>66</v>
      </c>
      <c r="F1783" t="s">
        <v>13</v>
      </c>
      <c r="G1783" s="15">
        <v>200</v>
      </c>
      <c r="H1783" t="s">
        <v>25</v>
      </c>
      <c r="I1783">
        <v>1</v>
      </c>
      <c r="J1783" t="s">
        <v>48</v>
      </c>
      <c r="K1783" t="s">
        <v>45</v>
      </c>
      <c r="L1783" t="s">
        <v>45</v>
      </c>
      <c r="M1783" t="s">
        <v>64</v>
      </c>
      <c r="N1783" s="15">
        <v>168.34</v>
      </c>
      <c r="O1783" s="16">
        <v>18.8</v>
      </c>
      <c r="P1783">
        <v>1</v>
      </c>
    </row>
    <row r="1784" spans="1:16" x14ac:dyDescent="0.3">
      <c r="A1784" t="s">
        <v>65</v>
      </c>
      <c r="B1784" t="s">
        <v>21</v>
      </c>
      <c r="C1784" t="s">
        <v>62</v>
      </c>
      <c r="D1784" t="s">
        <v>8</v>
      </c>
      <c r="E1784" t="s">
        <v>74</v>
      </c>
      <c r="F1784" t="s">
        <v>9</v>
      </c>
      <c r="G1784" s="15">
        <v>78.22</v>
      </c>
      <c r="H1784" t="s">
        <v>26</v>
      </c>
      <c r="I1784">
        <v>2</v>
      </c>
      <c r="J1784" t="s">
        <v>48</v>
      </c>
      <c r="K1784" t="s">
        <v>45</v>
      </c>
      <c r="L1784" t="s">
        <v>46</v>
      </c>
      <c r="M1784" t="s">
        <v>72</v>
      </c>
      <c r="N1784" s="15">
        <v>91.13</v>
      </c>
      <c r="O1784" s="16">
        <v>-14.2</v>
      </c>
      <c r="P1784">
        <v>0</v>
      </c>
    </row>
    <row r="1785" spans="1:16" x14ac:dyDescent="0.3">
      <c r="A1785" t="s">
        <v>57</v>
      </c>
      <c r="B1785" t="s">
        <v>19</v>
      </c>
      <c r="C1785" t="s">
        <v>19</v>
      </c>
      <c r="D1785" t="s">
        <v>14</v>
      </c>
      <c r="E1785" t="s">
        <v>63</v>
      </c>
      <c r="F1785" t="s">
        <v>9</v>
      </c>
      <c r="G1785" s="15">
        <v>57.14</v>
      </c>
      <c r="H1785" t="s">
        <v>26</v>
      </c>
      <c r="I1785">
        <v>2</v>
      </c>
      <c r="J1785" t="s">
        <v>48</v>
      </c>
      <c r="K1785" t="s">
        <v>46</v>
      </c>
      <c r="L1785" t="s">
        <v>46</v>
      </c>
      <c r="M1785" t="s">
        <v>61</v>
      </c>
      <c r="N1785" s="15">
        <v>65.16</v>
      </c>
      <c r="O1785" s="16">
        <v>-12.3</v>
      </c>
      <c r="P1785">
        <v>0</v>
      </c>
    </row>
    <row r="1786" spans="1:16" x14ac:dyDescent="0.3">
      <c r="A1786" t="s">
        <v>57</v>
      </c>
      <c r="B1786" t="s">
        <v>21</v>
      </c>
      <c r="C1786" t="s">
        <v>62</v>
      </c>
      <c r="D1786" t="s">
        <v>12</v>
      </c>
      <c r="E1786" t="s">
        <v>66</v>
      </c>
      <c r="F1786" t="s">
        <v>13</v>
      </c>
      <c r="G1786" s="15">
        <v>161.78</v>
      </c>
      <c r="H1786" t="s">
        <v>26</v>
      </c>
      <c r="I1786">
        <v>2</v>
      </c>
      <c r="J1786" t="s">
        <v>48</v>
      </c>
      <c r="K1786" t="s">
        <v>45</v>
      </c>
      <c r="L1786" t="s">
        <v>45</v>
      </c>
      <c r="M1786" t="s">
        <v>61</v>
      </c>
      <c r="N1786" s="15">
        <v>170.56</v>
      </c>
      <c r="O1786" s="16">
        <v>-5.0999999999999996</v>
      </c>
      <c r="P1786">
        <v>0</v>
      </c>
    </row>
    <row r="1787" spans="1:16" x14ac:dyDescent="0.3">
      <c r="A1787" t="s">
        <v>57</v>
      </c>
      <c r="B1787" t="s">
        <v>22</v>
      </c>
      <c r="C1787" t="s">
        <v>22</v>
      </c>
      <c r="D1787" t="s">
        <v>14</v>
      </c>
      <c r="E1787" t="s">
        <v>71</v>
      </c>
      <c r="F1787" t="s">
        <v>9</v>
      </c>
      <c r="G1787" s="15">
        <v>57.58</v>
      </c>
      <c r="H1787" t="s">
        <v>26</v>
      </c>
      <c r="I1787">
        <v>2</v>
      </c>
      <c r="J1787" t="s">
        <v>48</v>
      </c>
      <c r="K1787" t="s">
        <v>46</v>
      </c>
      <c r="L1787" t="s">
        <v>45</v>
      </c>
      <c r="M1787" t="s">
        <v>78</v>
      </c>
      <c r="N1787" s="15">
        <v>65.77</v>
      </c>
      <c r="O1787" s="16">
        <v>-12.5</v>
      </c>
      <c r="P1787">
        <v>0</v>
      </c>
    </row>
    <row r="1788" spans="1:16" x14ac:dyDescent="0.3">
      <c r="A1788" t="s">
        <v>65</v>
      </c>
      <c r="B1788" t="s">
        <v>21</v>
      </c>
      <c r="C1788" t="s">
        <v>62</v>
      </c>
      <c r="D1788" t="s">
        <v>14</v>
      </c>
      <c r="E1788" t="s">
        <v>63</v>
      </c>
      <c r="F1788" t="s">
        <v>9</v>
      </c>
      <c r="G1788" s="15">
        <v>63.81</v>
      </c>
      <c r="H1788" t="s">
        <v>25</v>
      </c>
      <c r="I1788">
        <v>1</v>
      </c>
      <c r="J1788" t="s">
        <v>47</v>
      </c>
      <c r="K1788" t="s">
        <v>46</v>
      </c>
      <c r="L1788" t="s">
        <v>45</v>
      </c>
      <c r="M1788" t="s">
        <v>59</v>
      </c>
      <c r="N1788" s="15">
        <v>68.150000000000006</v>
      </c>
      <c r="O1788" s="16">
        <v>-6.4</v>
      </c>
      <c r="P1788">
        <v>0</v>
      </c>
    </row>
    <row r="1789" spans="1:16" x14ac:dyDescent="0.3">
      <c r="A1789" t="s">
        <v>57</v>
      </c>
      <c r="B1789" t="s">
        <v>17</v>
      </c>
      <c r="C1789" t="s">
        <v>17</v>
      </c>
      <c r="D1789" t="s">
        <v>12</v>
      </c>
      <c r="E1789" t="s">
        <v>66</v>
      </c>
      <c r="F1789" t="s">
        <v>13</v>
      </c>
      <c r="G1789" s="15">
        <v>166.07</v>
      </c>
      <c r="H1789" t="s">
        <v>27</v>
      </c>
      <c r="I1789">
        <v>3</v>
      </c>
      <c r="J1789" t="s">
        <v>48</v>
      </c>
      <c r="K1789" t="s">
        <v>45</v>
      </c>
      <c r="L1789" t="s">
        <v>46</v>
      </c>
      <c r="M1789" t="s">
        <v>61</v>
      </c>
      <c r="N1789" s="15">
        <v>170.56</v>
      </c>
      <c r="O1789" s="16">
        <v>-2.6</v>
      </c>
      <c r="P1789">
        <v>0</v>
      </c>
    </row>
    <row r="1790" spans="1:16" x14ac:dyDescent="0.3">
      <c r="A1790" t="s">
        <v>60</v>
      </c>
      <c r="B1790" t="s">
        <v>19</v>
      </c>
      <c r="C1790" t="s">
        <v>19</v>
      </c>
      <c r="D1790" t="s">
        <v>15</v>
      </c>
      <c r="E1790" t="s">
        <v>75</v>
      </c>
      <c r="F1790" t="s">
        <v>9</v>
      </c>
      <c r="G1790" s="15">
        <v>122.75</v>
      </c>
      <c r="H1790" t="s">
        <v>26</v>
      </c>
      <c r="I1790">
        <v>2</v>
      </c>
      <c r="J1790" t="s">
        <v>47</v>
      </c>
      <c r="K1790" t="s">
        <v>46</v>
      </c>
      <c r="L1790" t="s">
        <v>46</v>
      </c>
      <c r="M1790" t="s">
        <v>59</v>
      </c>
      <c r="N1790" s="15">
        <v>119</v>
      </c>
      <c r="O1790" s="16">
        <v>3.2</v>
      </c>
      <c r="P1790">
        <v>0</v>
      </c>
    </row>
    <row r="1791" spans="1:16" x14ac:dyDescent="0.3">
      <c r="A1791" t="s">
        <v>65</v>
      </c>
      <c r="B1791" t="s">
        <v>19</v>
      </c>
      <c r="C1791" t="s">
        <v>19</v>
      </c>
      <c r="D1791" t="s">
        <v>11</v>
      </c>
      <c r="E1791" t="s">
        <v>70</v>
      </c>
      <c r="F1791" t="s">
        <v>9</v>
      </c>
      <c r="G1791" s="15">
        <v>30.22</v>
      </c>
      <c r="H1791" t="s">
        <v>26</v>
      </c>
      <c r="I1791">
        <v>2</v>
      </c>
      <c r="J1791" t="s">
        <v>48</v>
      </c>
      <c r="K1791" t="s">
        <v>45</v>
      </c>
      <c r="L1791" t="s">
        <v>45</v>
      </c>
      <c r="M1791" t="s">
        <v>78</v>
      </c>
      <c r="N1791" s="15">
        <v>32.630000000000003</v>
      </c>
      <c r="O1791" s="16">
        <v>-7.4</v>
      </c>
      <c r="P1791">
        <v>0</v>
      </c>
    </row>
    <row r="1792" spans="1:16" x14ac:dyDescent="0.3">
      <c r="A1792" t="s">
        <v>57</v>
      </c>
      <c r="B1792" t="s">
        <v>19</v>
      </c>
      <c r="C1792" t="s">
        <v>19</v>
      </c>
      <c r="D1792" t="s">
        <v>14</v>
      </c>
      <c r="E1792" t="s">
        <v>77</v>
      </c>
      <c r="F1792" t="s">
        <v>9</v>
      </c>
      <c r="G1792" s="15">
        <v>59.19</v>
      </c>
      <c r="H1792" t="s">
        <v>27</v>
      </c>
      <c r="I1792">
        <v>3</v>
      </c>
      <c r="J1792" t="s">
        <v>48</v>
      </c>
      <c r="K1792" t="s">
        <v>45</v>
      </c>
      <c r="L1792" t="s">
        <v>45</v>
      </c>
      <c r="M1792" t="s">
        <v>78</v>
      </c>
      <c r="N1792" s="15">
        <v>65.97</v>
      </c>
      <c r="O1792" s="16">
        <v>-10.3</v>
      </c>
      <c r="P1792">
        <v>0</v>
      </c>
    </row>
    <row r="1793" spans="1:16" x14ac:dyDescent="0.3">
      <c r="A1793" t="s">
        <v>60</v>
      </c>
      <c r="B1793" t="s">
        <v>20</v>
      </c>
      <c r="C1793" t="s">
        <v>20</v>
      </c>
      <c r="D1793" t="s">
        <v>14</v>
      </c>
      <c r="E1793" t="s">
        <v>63</v>
      </c>
      <c r="F1793" t="s">
        <v>9</v>
      </c>
      <c r="G1793" s="15">
        <v>71.31</v>
      </c>
      <c r="H1793" t="s">
        <v>26</v>
      </c>
      <c r="I1793">
        <v>2</v>
      </c>
      <c r="J1793" t="s">
        <v>48</v>
      </c>
      <c r="K1793" t="s">
        <v>45</v>
      </c>
      <c r="L1793" t="s">
        <v>45</v>
      </c>
      <c r="M1793" t="s">
        <v>67</v>
      </c>
      <c r="N1793" s="15">
        <v>66.680000000000007</v>
      </c>
      <c r="O1793" s="16">
        <v>6.9</v>
      </c>
      <c r="P1793">
        <v>0</v>
      </c>
    </row>
    <row r="1794" spans="1:16" x14ac:dyDescent="0.3">
      <c r="A1794" t="s">
        <v>57</v>
      </c>
      <c r="B1794" t="s">
        <v>19</v>
      </c>
      <c r="C1794" t="s">
        <v>19</v>
      </c>
      <c r="D1794" t="s">
        <v>11</v>
      </c>
      <c r="E1794" t="s">
        <v>70</v>
      </c>
      <c r="F1794" t="s">
        <v>9</v>
      </c>
      <c r="G1794" s="15">
        <v>37.31</v>
      </c>
      <c r="H1794" t="s">
        <v>26</v>
      </c>
      <c r="I1794">
        <v>2</v>
      </c>
      <c r="J1794" t="s">
        <v>48</v>
      </c>
      <c r="K1794" t="s">
        <v>45</v>
      </c>
      <c r="L1794" t="s">
        <v>45</v>
      </c>
      <c r="M1794" t="s">
        <v>64</v>
      </c>
      <c r="N1794" s="15">
        <v>30.5</v>
      </c>
      <c r="O1794" s="16">
        <v>22.3</v>
      </c>
      <c r="P1794">
        <v>1</v>
      </c>
    </row>
    <row r="1795" spans="1:16" x14ac:dyDescent="0.3">
      <c r="A1795" t="s">
        <v>57</v>
      </c>
      <c r="B1795" t="s">
        <v>22</v>
      </c>
      <c r="C1795" t="s">
        <v>22</v>
      </c>
      <c r="D1795" t="s">
        <v>11</v>
      </c>
      <c r="E1795" t="s">
        <v>79</v>
      </c>
      <c r="F1795" t="s">
        <v>9</v>
      </c>
      <c r="G1795" s="15">
        <v>30.1</v>
      </c>
      <c r="H1795" t="s">
        <v>27</v>
      </c>
      <c r="I1795">
        <v>3</v>
      </c>
      <c r="J1795" t="s">
        <v>48</v>
      </c>
      <c r="K1795" t="s">
        <v>46</v>
      </c>
      <c r="L1795" t="s">
        <v>46</v>
      </c>
      <c r="M1795" t="s">
        <v>64</v>
      </c>
      <c r="N1795" s="15">
        <v>30.93</v>
      </c>
      <c r="O1795" s="16">
        <v>-2.7</v>
      </c>
      <c r="P1795">
        <v>0</v>
      </c>
    </row>
    <row r="1796" spans="1:16" x14ac:dyDescent="0.3">
      <c r="A1796" t="s">
        <v>57</v>
      </c>
      <c r="B1796" t="s">
        <v>21</v>
      </c>
      <c r="C1796" t="s">
        <v>62</v>
      </c>
      <c r="D1796" t="s">
        <v>12</v>
      </c>
      <c r="E1796" t="s">
        <v>80</v>
      </c>
      <c r="F1796" t="s">
        <v>13</v>
      </c>
      <c r="G1796" s="15">
        <v>178.12</v>
      </c>
      <c r="H1796" t="s">
        <v>26</v>
      </c>
      <c r="I1796">
        <v>2</v>
      </c>
      <c r="J1796" t="s">
        <v>47</v>
      </c>
      <c r="K1796" t="s">
        <v>45</v>
      </c>
      <c r="L1796" t="s">
        <v>45</v>
      </c>
      <c r="M1796" t="s">
        <v>68</v>
      </c>
      <c r="N1796" s="15">
        <v>162.72999999999999</v>
      </c>
      <c r="O1796" s="16">
        <v>9.5</v>
      </c>
      <c r="P1796">
        <v>0</v>
      </c>
    </row>
    <row r="1797" spans="1:16" x14ac:dyDescent="0.3">
      <c r="A1797" t="s">
        <v>57</v>
      </c>
      <c r="B1797" t="s">
        <v>20</v>
      </c>
      <c r="C1797" t="s">
        <v>20</v>
      </c>
      <c r="D1797" t="s">
        <v>14</v>
      </c>
      <c r="E1797" t="s">
        <v>77</v>
      </c>
      <c r="F1797" t="s">
        <v>9</v>
      </c>
      <c r="G1797" s="15">
        <v>61.34</v>
      </c>
      <c r="H1797" t="s">
        <v>27</v>
      </c>
      <c r="I1797">
        <v>3</v>
      </c>
      <c r="J1797" t="s">
        <v>48</v>
      </c>
      <c r="K1797" t="s">
        <v>46</v>
      </c>
      <c r="L1797" t="s">
        <v>45</v>
      </c>
      <c r="M1797" t="s">
        <v>68</v>
      </c>
      <c r="N1797" s="15">
        <v>65.97</v>
      </c>
      <c r="O1797" s="16">
        <v>-7</v>
      </c>
      <c r="P1797">
        <v>0</v>
      </c>
    </row>
    <row r="1798" spans="1:16" x14ac:dyDescent="0.3">
      <c r="A1798" t="s">
        <v>57</v>
      </c>
      <c r="B1798" t="s">
        <v>21</v>
      </c>
      <c r="C1798" t="s">
        <v>62</v>
      </c>
      <c r="D1798" t="s">
        <v>15</v>
      </c>
      <c r="E1798" t="s">
        <v>75</v>
      </c>
      <c r="F1798" t="s">
        <v>9</v>
      </c>
      <c r="G1798" s="15">
        <v>123.82</v>
      </c>
      <c r="H1798" t="s">
        <v>25</v>
      </c>
      <c r="I1798">
        <v>1</v>
      </c>
      <c r="J1798" t="s">
        <v>48</v>
      </c>
      <c r="K1798" t="s">
        <v>45</v>
      </c>
      <c r="L1798" t="s">
        <v>45</v>
      </c>
      <c r="M1798" t="s">
        <v>72</v>
      </c>
      <c r="N1798" s="15">
        <v>120.06</v>
      </c>
      <c r="O1798" s="16">
        <v>3.1</v>
      </c>
      <c r="P1798">
        <v>0</v>
      </c>
    </row>
    <row r="1799" spans="1:16" x14ac:dyDescent="0.3">
      <c r="A1799" t="s">
        <v>60</v>
      </c>
      <c r="B1799" t="s">
        <v>20</v>
      </c>
      <c r="C1799" t="s">
        <v>20</v>
      </c>
      <c r="D1799" t="s">
        <v>14</v>
      </c>
      <c r="E1799" t="s">
        <v>63</v>
      </c>
      <c r="F1799" t="s">
        <v>9</v>
      </c>
      <c r="G1799" s="15">
        <v>55.24</v>
      </c>
      <c r="H1799" t="s">
        <v>26</v>
      </c>
      <c r="I1799">
        <v>2</v>
      </c>
      <c r="J1799" t="s">
        <v>48</v>
      </c>
      <c r="K1799" t="s">
        <v>46</v>
      </c>
      <c r="L1799" t="s">
        <v>45</v>
      </c>
      <c r="M1799" t="s">
        <v>64</v>
      </c>
      <c r="N1799" s="15">
        <v>66.680000000000007</v>
      </c>
      <c r="O1799" s="16">
        <v>-17.2</v>
      </c>
      <c r="P1799">
        <v>0</v>
      </c>
    </row>
    <row r="1800" spans="1:16" x14ac:dyDescent="0.3">
      <c r="A1800" t="s">
        <v>60</v>
      </c>
      <c r="B1800" t="s">
        <v>18</v>
      </c>
      <c r="C1800" t="s">
        <v>18</v>
      </c>
      <c r="D1800" t="s">
        <v>15</v>
      </c>
      <c r="E1800" t="s">
        <v>75</v>
      </c>
      <c r="F1800" t="s">
        <v>9</v>
      </c>
      <c r="G1800" s="15">
        <v>119.56</v>
      </c>
      <c r="H1800" t="s">
        <v>26</v>
      </c>
      <c r="I1800">
        <v>2</v>
      </c>
      <c r="J1800" t="s">
        <v>47</v>
      </c>
      <c r="K1800" t="s">
        <v>46</v>
      </c>
      <c r="L1800" t="s">
        <v>45</v>
      </c>
      <c r="M1800" t="s">
        <v>78</v>
      </c>
      <c r="N1800" s="15">
        <v>119</v>
      </c>
      <c r="O1800" s="16">
        <v>0.5</v>
      </c>
      <c r="P1800">
        <v>0</v>
      </c>
    </row>
    <row r="1801" spans="1:16" x14ac:dyDescent="0.3">
      <c r="A1801" t="s">
        <v>65</v>
      </c>
      <c r="B1801" t="s">
        <v>20</v>
      </c>
      <c r="C1801" t="s">
        <v>20</v>
      </c>
      <c r="D1801" t="s">
        <v>14</v>
      </c>
      <c r="E1801" t="s">
        <v>77</v>
      </c>
      <c r="F1801" t="s">
        <v>9</v>
      </c>
      <c r="G1801" s="15">
        <v>70.989999999999995</v>
      </c>
      <c r="H1801" t="s">
        <v>26</v>
      </c>
      <c r="I1801">
        <v>2</v>
      </c>
      <c r="J1801" t="s">
        <v>47</v>
      </c>
      <c r="K1801" t="s">
        <v>46</v>
      </c>
      <c r="L1801" t="s">
        <v>45</v>
      </c>
      <c r="M1801" t="s">
        <v>68</v>
      </c>
      <c r="N1801" s="15">
        <v>70.66</v>
      </c>
      <c r="O1801" s="16">
        <v>0.5</v>
      </c>
      <c r="P1801">
        <v>0</v>
      </c>
    </row>
    <row r="1802" spans="1:16" x14ac:dyDescent="0.3">
      <c r="A1802" t="s">
        <v>57</v>
      </c>
      <c r="B1802" t="s">
        <v>22</v>
      </c>
      <c r="C1802" t="s">
        <v>22</v>
      </c>
      <c r="D1802" t="s">
        <v>15</v>
      </c>
      <c r="E1802" t="s">
        <v>75</v>
      </c>
      <c r="F1802" t="s">
        <v>9</v>
      </c>
      <c r="G1802" s="15">
        <v>128.13</v>
      </c>
      <c r="H1802" t="s">
        <v>26</v>
      </c>
      <c r="I1802">
        <v>2</v>
      </c>
      <c r="J1802" t="s">
        <v>47</v>
      </c>
      <c r="K1802" t="s">
        <v>45</v>
      </c>
      <c r="L1802" t="s">
        <v>45</v>
      </c>
      <c r="M1802" t="s">
        <v>64</v>
      </c>
      <c r="N1802" s="15">
        <v>120.06</v>
      </c>
      <c r="O1802" s="16">
        <v>6.7</v>
      </c>
      <c r="P1802">
        <v>0</v>
      </c>
    </row>
    <row r="1803" spans="1:16" x14ac:dyDescent="0.3">
      <c r="A1803" t="s">
        <v>57</v>
      </c>
      <c r="B1803" t="s">
        <v>22</v>
      </c>
      <c r="C1803" t="s">
        <v>22</v>
      </c>
      <c r="D1803" t="s">
        <v>11</v>
      </c>
      <c r="E1803" t="s">
        <v>79</v>
      </c>
      <c r="F1803" t="s">
        <v>9</v>
      </c>
      <c r="G1803" s="15">
        <v>30.38</v>
      </c>
      <c r="H1803" t="s">
        <v>27</v>
      </c>
      <c r="I1803">
        <v>3</v>
      </c>
      <c r="J1803" t="s">
        <v>48</v>
      </c>
      <c r="K1803" t="s">
        <v>45</v>
      </c>
      <c r="L1803" t="s">
        <v>46</v>
      </c>
      <c r="M1803" t="s">
        <v>59</v>
      </c>
      <c r="N1803" s="15">
        <v>30.93</v>
      </c>
      <c r="O1803" s="16">
        <v>-1.8</v>
      </c>
      <c r="P1803">
        <v>0</v>
      </c>
    </row>
    <row r="1804" spans="1:16" x14ac:dyDescent="0.3">
      <c r="A1804" t="s">
        <v>57</v>
      </c>
      <c r="B1804" t="s">
        <v>22</v>
      </c>
      <c r="C1804" t="s">
        <v>22</v>
      </c>
      <c r="D1804" t="s">
        <v>11</v>
      </c>
      <c r="E1804" t="s">
        <v>79</v>
      </c>
      <c r="F1804" t="s">
        <v>9</v>
      </c>
      <c r="G1804" s="15">
        <v>29.04</v>
      </c>
      <c r="H1804" t="s">
        <v>26</v>
      </c>
      <c r="I1804">
        <v>2</v>
      </c>
      <c r="J1804" t="s">
        <v>48</v>
      </c>
      <c r="K1804" t="s">
        <v>45</v>
      </c>
      <c r="L1804" t="s">
        <v>45</v>
      </c>
      <c r="M1804" t="s">
        <v>61</v>
      </c>
      <c r="N1804" s="15">
        <v>30.93</v>
      </c>
      <c r="O1804" s="16">
        <v>-6.1</v>
      </c>
      <c r="P1804">
        <v>0</v>
      </c>
    </row>
    <row r="1805" spans="1:16" x14ac:dyDescent="0.3">
      <c r="A1805" t="s">
        <v>65</v>
      </c>
      <c r="B1805" t="s">
        <v>22</v>
      </c>
      <c r="C1805" t="s">
        <v>22</v>
      </c>
      <c r="D1805" t="s">
        <v>14</v>
      </c>
      <c r="E1805" t="s">
        <v>77</v>
      </c>
      <c r="F1805" t="s">
        <v>9</v>
      </c>
      <c r="G1805" s="15">
        <v>62.96</v>
      </c>
      <c r="H1805" t="s">
        <v>26</v>
      </c>
      <c r="I1805">
        <v>2</v>
      </c>
      <c r="J1805" t="s">
        <v>47</v>
      </c>
      <c r="K1805" t="s">
        <v>45</v>
      </c>
      <c r="L1805" t="s">
        <v>45</v>
      </c>
      <c r="M1805" t="s">
        <v>78</v>
      </c>
      <c r="N1805" s="15">
        <v>70.66</v>
      </c>
      <c r="O1805" s="16">
        <v>-10.9</v>
      </c>
      <c r="P1805">
        <v>0</v>
      </c>
    </row>
    <row r="1806" spans="1:16" x14ac:dyDescent="0.3">
      <c r="A1806" t="s">
        <v>65</v>
      </c>
      <c r="B1806" t="s">
        <v>19</v>
      </c>
      <c r="C1806" t="s">
        <v>19</v>
      </c>
      <c r="D1806" t="s">
        <v>8</v>
      </c>
      <c r="E1806" t="s">
        <v>74</v>
      </c>
      <c r="F1806" t="s">
        <v>9</v>
      </c>
      <c r="G1806" s="15">
        <v>68.84</v>
      </c>
      <c r="H1806" t="s">
        <v>27</v>
      </c>
      <c r="I1806">
        <v>3</v>
      </c>
      <c r="J1806" t="s">
        <v>47</v>
      </c>
      <c r="K1806" t="s">
        <v>45</v>
      </c>
      <c r="L1806" t="s">
        <v>45</v>
      </c>
      <c r="M1806" t="s">
        <v>72</v>
      </c>
      <c r="N1806" s="15">
        <v>91.13</v>
      </c>
      <c r="O1806" s="16">
        <v>-24.5</v>
      </c>
      <c r="P1806">
        <v>0</v>
      </c>
    </row>
    <row r="1807" spans="1:16" x14ac:dyDescent="0.3">
      <c r="A1807" t="s">
        <v>57</v>
      </c>
      <c r="B1807" t="s">
        <v>22</v>
      </c>
      <c r="C1807" t="s">
        <v>22</v>
      </c>
      <c r="D1807" t="s">
        <v>15</v>
      </c>
      <c r="E1807" t="s">
        <v>75</v>
      </c>
      <c r="F1807" t="s">
        <v>9</v>
      </c>
      <c r="G1807" s="15">
        <v>117.58</v>
      </c>
      <c r="H1807" t="s">
        <v>26</v>
      </c>
      <c r="I1807">
        <v>2</v>
      </c>
      <c r="J1807" t="s">
        <v>47</v>
      </c>
      <c r="K1807" t="s">
        <v>45</v>
      </c>
      <c r="L1807" t="s">
        <v>45</v>
      </c>
      <c r="M1807" t="s">
        <v>59</v>
      </c>
      <c r="N1807" s="15">
        <v>120.06</v>
      </c>
      <c r="O1807" s="16">
        <v>-2.1</v>
      </c>
      <c r="P1807">
        <v>0</v>
      </c>
    </row>
    <row r="1808" spans="1:16" x14ac:dyDescent="0.3">
      <c r="A1808" t="s">
        <v>57</v>
      </c>
      <c r="B1808" t="s">
        <v>17</v>
      </c>
      <c r="C1808" t="s">
        <v>17</v>
      </c>
      <c r="D1808" t="s">
        <v>11</v>
      </c>
      <c r="E1808" t="s">
        <v>70</v>
      </c>
      <c r="F1808" t="s">
        <v>9</v>
      </c>
      <c r="G1808" s="15">
        <v>34.909999999999997</v>
      </c>
      <c r="H1808" t="s">
        <v>26</v>
      </c>
      <c r="I1808">
        <v>2</v>
      </c>
      <c r="J1808" t="s">
        <v>47</v>
      </c>
      <c r="K1808" t="s">
        <v>46</v>
      </c>
      <c r="L1808" t="s">
        <v>45</v>
      </c>
      <c r="M1808" t="s">
        <v>64</v>
      </c>
      <c r="N1808" s="15">
        <v>30.5</v>
      </c>
      <c r="O1808" s="16">
        <v>14.5</v>
      </c>
      <c r="P1808">
        <v>0</v>
      </c>
    </row>
    <row r="1809" spans="1:16" x14ac:dyDescent="0.3">
      <c r="A1809" t="s">
        <v>65</v>
      </c>
      <c r="B1809" t="s">
        <v>17</v>
      </c>
      <c r="C1809" t="s">
        <v>17</v>
      </c>
      <c r="D1809" t="s">
        <v>14</v>
      </c>
      <c r="E1809" t="s">
        <v>77</v>
      </c>
      <c r="F1809" t="s">
        <v>9</v>
      </c>
      <c r="G1809" s="15">
        <v>72.28</v>
      </c>
      <c r="H1809" t="s">
        <v>26</v>
      </c>
      <c r="I1809">
        <v>2</v>
      </c>
      <c r="J1809" t="s">
        <v>44</v>
      </c>
      <c r="K1809" t="s">
        <v>45</v>
      </c>
      <c r="L1809" t="s">
        <v>45</v>
      </c>
      <c r="M1809" t="s">
        <v>68</v>
      </c>
      <c r="N1809" s="15">
        <v>70.66</v>
      </c>
      <c r="O1809" s="16">
        <v>2.2999999999999998</v>
      </c>
      <c r="P1809">
        <v>0</v>
      </c>
    </row>
    <row r="1810" spans="1:16" x14ac:dyDescent="0.3">
      <c r="A1810" t="s">
        <v>60</v>
      </c>
      <c r="B1810" t="s">
        <v>21</v>
      </c>
      <c r="C1810" t="s">
        <v>62</v>
      </c>
      <c r="D1810" t="s">
        <v>12</v>
      </c>
      <c r="E1810" t="s">
        <v>66</v>
      </c>
      <c r="F1810" t="s">
        <v>13</v>
      </c>
      <c r="G1810" s="15">
        <v>172.16</v>
      </c>
      <c r="H1810" t="s">
        <v>26</v>
      </c>
      <c r="I1810">
        <v>2</v>
      </c>
      <c r="J1810" t="s">
        <v>47</v>
      </c>
      <c r="K1810" t="s">
        <v>45</v>
      </c>
      <c r="L1810" t="s">
        <v>45</v>
      </c>
      <c r="M1810" t="s">
        <v>64</v>
      </c>
      <c r="N1810" s="15">
        <v>168.34</v>
      </c>
      <c r="O1810" s="16">
        <v>2.2999999999999998</v>
      </c>
      <c r="P1810">
        <v>0</v>
      </c>
    </row>
    <row r="1811" spans="1:16" x14ac:dyDescent="0.3">
      <c r="A1811" t="s">
        <v>65</v>
      </c>
      <c r="B1811" t="s">
        <v>22</v>
      </c>
      <c r="C1811" t="s">
        <v>22</v>
      </c>
      <c r="D1811" t="s">
        <v>11</v>
      </c>
      <c r="E1811" t="s">
        <v>70</v>
      </c>
      <c r="F1811" t="s">
        <v>9</v>
      </c>
      <c r="G1811" s="15">
        <v>31.24</v>
      </c>
      <c r="H1811" t="s">
        <v>27</v>
      </c>
      <c r="I1811">
        <v>3</v>
      </c>
      <c r="J1811" t="s">
        <v>47</v>
      </c>
      <c r="K1811" t="s">
        <v>45</v>
      </c>
      <c r="L1811" t="s">
        <v>45</v>
      </c>
      <c r="M1811" t="s">
        <v>64</v>
      </c>
      <c r="N1811" s="15">
        <v>32.630000000000003</v>
      </c>
      <c r="O1811" s="16">
        <v>-4.3</v>
      </c>
      <c r="P1811">
        <v>0</v>
      </c>
    </row>
    <row r="1812" spans="1:16" x14ac:dyDescent="0.3">
      <c r="A1812" t="s">
        <v>60</v>
      </c>
      <c r="B1812" t="s">
        <v>21</v>
      </c>
      <c r="C1812" t="s">
        <v>62</v>
      </c>
      <c r="D1812" t="s">
        <v>12</v>
      </c>
      <c r="E1812" t="s">
        <v>66</v>
      </c>
      <c r="F1812" t="s">
        <v>13</v>
      </c>
      <c r="G1812" s="15">
        <v>154.6</v>
      </c>
      <c r="H1812" t="s">
        <v>26</v>
      </c>
      <c r="I1812">
        <v>2</v>
      </c>
      <c r="J1812" t="s">
        <v>48</v>
      </c>
      <c r="K1812" t="s">
        <v>46</v>
      </c>
      <c r="L1812" t="s">
        <v>45</v>
      </c>
      <c r="M1812" t="s">
        <v>72</v>
      </c>
      <c r="N1812" s="15">
        <v>168.34</v>
      </c>
      <c r="O1812" s="16">
        <v>-8.1999999999999993</v>
      </c>
      <c r="P1812">
        <v>0</v>
      </c>
    </row>
    <row r="1813" spans="1:16" x14ac:dyDescent="0.3">
      <c r="A1813" t="s">
        <v>57</v>
      </c>
      <c r="B1813" t="s">
        <v>20</v>
      </c>
      <c r="C1813" t="s">
        <v>20</v>
      </c>
      <c r="D1813" t="s">
        <v>10</v>
      </c>
      <c r="E1813" t="s">
        <v>58</v>
      </c>
      <c r="F1813" t="s">
        <v>9</v>
      </c>
      <c r="G1813" s="15">
        <v>124.25</v>
      </c>
      <c r="H1813" t="s">
        <v>27</v>
      </c>
      <c r="I1813">
        <v>3</v>
      </c>
      <c r="J1813" t="s">
        <v>48</v>
      </c>
      <c r="K1813" t="s">
        <v>46</v>
      </c>
      <c r="L1813" t="s">
        <v>45</v>
      </c>
      <c r="M1813" t="s">
        <v>72</v>
      </c>
      <c r="N1813" s="15">
        <v>151.19</v>
      </c>
      <c r="O1813" s="16">
        <v>-17.8</v>
      </c>
      <c r="P1813">
        <v>0</v>
      </c>
    </row>
    <row r="1814" spans="1:16" x14ac:dyDescent="0.3">
      <c r="A1814" t="s">
        <v>57</v>
      </c>
      <c r="B1814" t="s">
        <v>19</v>
      </c>
      <c r="C1814" t="s">
        <v>19</v>
      </c>
      <c r="D1814" t="s">
        <v>8</v>
      </c>
      <c r="E1814" t="s">
        <v>74</v>
      </c>
      <c r="F1814" t="s">
        <v>9</v>
      </c>
      <c r="G1814" s="15">
        <v>87.42</v>
      </c>
      <c r="H1814" t="s">
        <v>25</v>
      </c>
      <c r="I1814">
        <v>1</v>
      </c>
      <c r="J1814" t="s">
        <v>47</v>
      </c>
      <c r="K1814" t="s">
        <v>45</v>
      </c>
      <c r="L1814" t="s">
        <v>45</v>
      </c>
      <c r="M1814" t="s">
        <v>78</v>
      </c>
      <c r="N1814" s="15">
        <v>83.41</v>
      </c>
      <c r="O1814" s="16">
        <v>4.8</v>
      </c>
      <c r="P1814">
        <v>0</v>
      </c>
    </row>
    <row r="1815" spans="1:16" x14ac:dyDescent="0.3">
      <c r="A1815" t="s">
        <v>60</v>
      </c>
      <c r="B1815" t="s">
        <v>19</v>
      </c>
      <c r="C1815" t="s">
        <v>19</v>
      </c>
      <c r="D1815" t="s">
        <v>14</v>
      </c>
      <c r="E1815" t="s">
        <v>71</v>
      </c>
      <c r="F1815" t="s">
        <v>9</v>
      </c>
      <c r="G1815" s="15">
        <v>58.88</v>
      </c>
      <c r="H1815" t="s">
        <v>27</v>
      </c>
      <c r="I1815">
        <v>3</v>
      </c>
      <c r="J1815" t="s">
        <v>48</v>
      </c>
      <c r="K1815" t="s">
        <v>46</v>
      </c>
      <c r="L1815" t="s">
        <v>45</v>
      </c>
      <c r="M1815" t="s">
        <v>59</v>
      </c>
      <c r="N1815" s="15">
        <v>65.239999999999995</v>
      </c>
      <c r="O1815" s="16">
        <v>-9.6999999999999993</v>
      </c>
      <c r="P1815">
        <v>0</v>
      </c>
    </row>
    <row r="1816" spans="1:16" x14ac:dyDescent="0.3">
      <c r="A1816" t="s">
        <v>57</v>
      </c>
      <c r="B1816" t="s">
        <v>17</v>
      </c>
      <c r="C1816" t="s">
        <v>17</v>
      </c>
      <c r="D1816" t="s">
        <v>12</v>
      </c>
      <c r="E1816" t="s">
        <v>80</v>
      </c>
      <c r="F1816" t="s">
        <v>13</v>
      </c>
      <c r="G1816" s="15">
        <v>153.59</v>
      </c>
      <c r="H1816" t="s">
        <v>26</v>
      </c>
      <c r="I1816">
        <v>2</v>
      </c>
      <c r="J1816" t="s">
        <v>48</v>
      </c>
      <c r="K1816" t="s">
        <v>45</v>
      </c>
      <c r="L1816" t="s">
        <v>45</v>
      </c>
      <c r="M1816" t="s">
        <v>64</v>
      </c>
      <c r="N1816" s="15">
        <v>162.72999999999999</v>
      </c>
      <c r="O1816" s="16">
        <v>-5.6</v>
      </c>
      <c r="P1816">
        <v>0</v>
      </c>
    </row>
    <row r="1817" spans="1:16" x14ac:dyDescent="0.3">
      <c r="A1817" t="s">
        <v>65</v>
      </c>
      <c r="B1817" t="s">
        <v>19</v>
      </c>
      <c r="C1817" t="s">
        <v>19</v>
      </c>
      <c r="D1817" t="s">
        <v>14</v>
      </c>
      <c r="E1817" t="s">
        <v>77</v>
      </c>
      <c r="F1817" t="s">
        <v>9</v>
      </c>
      <c r="G1817" s="15">
        <v>79.150000000000006</v>
      </c>
      <c r="H1817" t="s">
        <v>26</v>
      </c>
      <c r="I1817">
        <v>2</v>
      </c>
      <c r="J1817" t="s">
        <v>47</v>
      </c>
      <c r="K1817" t="s">
        <v>45</v>
      </c>
      <c r="L1817" t="s">
        <v>45</v>
      </c>
      <c r="M1817" t="s">
        <v>61</v>
      </c>
      <c r="N1817" s="15">
        <v>70.66</v>
      </c>
      <c r="O1817" s="16">
        <v>12</v>
      </c>
      <c r="P1817">
        <v>0</v>
      </c>
    </row>
    <row r="1818" spans="1:16" x14ac:dyDescent="0.3">
      <c r="A1818" t="s">
        <v>65</v>
      </c>
      <c r="B1818" t="s">
        <v>20</v>
      </c>
      <c r="C1818" t="s">
        <v>20</v>
      </c>
      <c r="D1818" t="s">
        <v>10</v>
      </c>
      <c r="E1818" t="s">
        <v>69</v>
      </c>
      <c r="F1818" t="s">
        <v>9</v>
      </c>
      <c r="G1818" s="15">
        <v>173.63</v>
      </c>
      <c r="H1818" t="s">
        <v>26</v>
      </c>
      <c r="I1818">
        <v>2</v>
      </c>
      <c r="J1818" t="s">
        <v>47</v>
      </c>
      <c r="K1818" t="s">
        <v>46</v>
      </c>
      <c r="L1818" t="s">
        <v>45</v>
      </c>
      <c r="M1818" t="s">
        <v>59</v>
      </c>
      <c r="N1818" s="15">
        <v>158.91999999999999</v>
      </c>
      <c r="O1818" s="16">
        <v>9.3000000000000007</v>
      </c>
      <c r="P1818">
        <v>0</v>
      </c>
    </row>
    <row r="1819" spans="1:16" x14ac:dyDescent="0.3">
      <c r="A1819" t="s">
        <v>57</v>
      </c>
      <c r="B1819" t="s">
        <v>21</v>
      </c>
      <c r="C1819" t="s">
        <v>62</v>
      </c>
      <c r="D1819" t="s">
        <v>8</v>
      </c>
      <c r="E1819" t="s">
        <v>73</v>
      </c>
      <c r="F1819" t="s">
        <v>9</v>
      </c>
      <c r="G1819" s="15">
        <v>45.09</v>
      </c>
      <c r="H1819" t="s">
        <v>27</v>
      </c>
      <c r="I1819">
        <v>3</v>
      </c>
      <c r="J1819" t="s">
        <v>48</v>
      </c>
      <c r="K1819" t="s">
        <v>46</v>
      </c>
      <c r="L1819" t="s">
        <v>45</v>
      </c>
      <c r="M1819" t="s">
        <v>78</v>
      </c>
      <c r="N1819" s="15">
        <v>86.06</v>
      </c>
      <c r="O1819" s="16">
        <v>-47.6</v>
      </c>
      <c r="P1819">
        <v>0</v>
      </c>
    </row>
    <row r="1820" spans="1:16" x14ac:dyDescent="0.3">
      <c r="A1820" t="s">
        <v>60</v>
      </c>
      <c r="B1820" t="s">
        <v>20</v>
      </c>
      <c r="C1820" t="s">
        <v>20</v>
      </c>
      <c r="D1820" t="s">
        <v>12</v>
      </c>
      <c r="E1820" t="s">
        <v>66</v>
      </c>
      <c r="F1820" t="s">
        <v>13</v>
      </c>
      <c r="G1820" s="15">
        <v>153.29</v>
      </c>
      <c r="H1820" t="s">
        <v>26</v>
      </c>
      <c r="I1820">
        <v>2</v>
      </c>
      <c r="J1820" t="s">
        <v>47</v>
      </c>
      <c r="K1820" t="s">
        <v>46</v>
      </c>
      <c r="L1820" t="s">
        <v>45</v>
      </c>
      <c r="M1820" t="s">
        <v>78</v>
      </c>
      <c r="N1820" s="15">
        <v>168.34</v>
      </c>
      <c r="O1820" s="16">
        <v>-8.9</v>
      </c>
      <c r="P1820">
        <v>0</v>
      </c>
    </row>
    <row r="1821" spans="1:16" x14ac:dyDescent="0.3">
      <c r="A1821" t="s">
        <v>57</v>
      </c>
      <c r="B1821" t="s">
        <v>21</v>
      </c>
      <c r="C1821" t="s">
        <v>62</v>
      </c>
      <c r="D1821" t="s">
        <v>15</v>
      </c>
      <c r="E1821" t="s">
        <v>75</v>
      </c>
      <c r="F1821" t="s">
        <v>9</v>
      </c>
      <c r="G1821" s="15">
        <v>102.08</v>
      </c>
      <c r="H1821" t="s">
        <v>26</v>
      </c>
      <c r="I1821">
        <v>2</v>
      </c>
      <c r="J1821" t="s">
        <v>48</v>
      </c>
      <c r="K1821" t="s">
        <v>46</v>
      </c>
      <c r="L1821" t="s">
        <v>45</v>
      </c>
      <c r="M1821" t="s">
        <v>72</v>
      </c>
      <c r="N1821" s="15">
        <v>120.06</v>
      </c>
      <c r="O1821" s="16">
        <v>-15</v>
      </c>
      <c r="P1821">
        <v>0</v>
      </c>
    </row>
    <row r="1822" spans="1:16" x14ac:dyDescent="0.3">
      <c r="A1822" t="s">
        <v>60</v>
      </c>
      <c r="B1822" t="s">
        <v>22</v>
      </c>
      <c r="C1822" t="s">
        <v>22</v>
      </c>
      <c r="D1822" t="s">
        <v>12</v>
      </c>
      <c r="E1822" t="s">
        <v>66</v>
      </c>
      <c r="F1822" t="s">
        <v>13</v>
      </c>
      <c r="G1822" s="15">
        <v>140.59</v>
      </c>
      <c r="H1822" t="s">
        <v>27</v>
      </c>
      <c r="I1822">
        <v>3</v>
      </c>
      <c r="J1822" t="s">
        <v>47</v>
      </c>
      <c r="K1822" t="s">
        <v>46</v>
      </c>
      <c r="L1822" t="s">
        <v>45</v>
      </c>
      <c r="M1822" t="s">
        <v>72</v>
      </c>
      <c r="N1822" s="15">
        <v>168.34</v>
      </c>
      <c r="O1822" s="16">
        <v>-16.5</v>
      </c>
      <c r="P1822">
        <v>0</v>
      </c>
    </row>
    <row r="1823" spans="1:16" x14ac:dyDescent="0.3">
      <c r="A1823" t="s">
        <v>60</v>
      </c>
      <c r="B1823" t="s">
        <v>17</v>
      </c>
      <c r="C1823" t="s">
        <v>17</v>
      </c>
      <c r="D1823" t="s">
        <v>14</v>
      </c>
      <c r="E1823" t="s">
        <v>63</v>
      </c>
      <c r="F1823" t="s">
        <v>9</v>
      </c>
      <c r="G1823" s="15">
        <v>72.06</v>
      </c>
      <c r="H1823" t="s">
        <v>27</v>
      </c>
      <c r="I1823">
        <v>3</v>
      </c>
      <c r="J1823" t="s">
        <v>48</v>
      </c>
      <c r="K1823" t="s">
        <v>45</v>
      </c>
      <c r="L1823" t="s">
        <v>45</v>
      </c>
      <c r="M1823" t="s">
        <v>67</v>
      </c>
      <c r="N1823" s="15">
        <v>66.680000000000007</v>
      </c>
      <c r="O1823" s="16">
        <v>8.1</v>
      </c>
      <c r="P1823">
        <v>0</v>
      </c>
    </row>
    <row r="1824" spans="1:16" x14ac:dyDescent="0.3">
      <c r="A1824" t="s">
        <v>60</v>
      </c>
      <c r="B1824" t="s">
        <v>18</v>
      </c>
      <c r="C1824" t="s">
        <v>18</v>
      </c>
      <c r="D1824" t="s">
        <v>8</v>
      </c>
      <c r="E1824" t="s">
        <v>73</v>
      </c>
      <c r="F1824" t="s">
        <v>9</v>
      </c>
      <c r="G1824" s="15">
        <v>75.989999999999995</v>
      </c>
      <c r="H1824" t="s">
        <v>26</v>
      </c>
      <c r="I1824">
        <v>2</v>
      </c>
      <c r="J1824" t="s">
        <v>48</v>
      </c>
      <c r="K1824" t="s">
        <v>45</v>
      </c>
      <c r="L1824" t="s">
        <v>45</v>
      </c>
      <c r="M1824" t="s">
        <v>67</v>
      </c>
      <c r="N1824" s="15">
        <v>82.04</v>
      </c>
      <c r="O1824" s="16">
        <v>-7.4</v>
      </c>
      <c r="P1824">
        <v>0</v>
      </c>
    </row>
    <row r="1825" spans="1:16" x14ac:dyDescent="0.3">
      <c r="A1825" t="s">
        <v>57</v>
      </c>
      <c r="B1825" t="s">
        <v>17</v>
      </c>
      <c r="C1825" t="s">
        <v>17</v>
      </c>
      <c r="D1825" t="s">
        <v>11</v>
      </c>
      <c r="E1825" t="s">
        <v>70</v>
      </c>
      <c r="F1825" t="s">
        <v>9</v>
      </c>
      <c r="G1825" s="15">
        <v>24.57</v>
      </c>
      <c r="H1825" t="s">
        <v>27</v>
      </c>
      <c r="I1825">
        <v>3</v>
      </c>
      <c r="J1825" t="s">
        <v>48</v>
      </c>
      <c r="K1825" t="s">
        <v>46</v>
      </c>
      <c r="L1825" t="s">
        <v>45</v>
      </c>
      <c r="M1825" t="s">
        <v>61</v>
      </c>
      <c r="N1825" s="15">
        <v>30.5</v>
      </c>
      <c r="O1825" s="16">
        <v>-19.399999999999999</v>
      </c>
      <c r="P1825">
        <v>0</v>
      </c>
    </row>
    <row r="1826" spans="1:16" x14ac:dyDescent="0.3">
      <c r="A1826" t="s">
        <v>65</v>
      </c>
      <c r="B1826" t="s">
        <v>19</v>
      </c>
      <c r="C1826" t="s">
        <v>19</v>
      </c>
      <c r="D1826" t="s">
        <v>14</v>
      </c>
      <c r="E1826" t="s">
        <v>63</v>
      </c>
      <c r="F1826" t="s">
        <v>9</v>
      </c>
      <c r="G1826" s="15">
        <v>80</v>
      </c>
      <c r="H1826" t="s">
        <v>26</v>
      </c>
      <c r="I1826">
        <v>2</v>
      </c>
      <c r="J1826" t="s">
        <v>47</v>
      </c>
      <c r="K1826" t="s">
        <v>45</v>
      </c>
      <c r="L1826" t="s">
        <v>45</v>
      </c>
      <c r="M1826" t="s">
        <v>78</v>
      </c>
      <c r="N1826" s="15">
        <v>68.150000000000006</v>
      </c>
      <c r="O1826" s="16">
        <v>17.399999999999999</v>
      </c>
      <c r="P1826">
        <v>1</v>
      </c>
    </row>
    <row r="1827" spans="1:16" x14ac:dyDescent="0.3">
      <c r="A1827" t="s">
        <v>57</v>
      </c>
      <c r="B1827" t="s">
        <v>20</v>
      </c>
      <c r="C1827" t="s">
        <v>20</v>
      </c>
      <c r="D1827" t="s">
        <v>12</v>
      </c>
      <c r="E1827" t="s">
        <v>66</v>
      </c>
      <c r="F1827" t="s">
        <v>13</v>
      </c>
      <c r="G1827" s="15">
        <v>172.57</v>
      </c>
      <c r="H1827" t="s">
        <v>26</v>
      </c>
      <c r="I1827">
        <v>2</v>
      </c>
      <c r="J1827" t="s">
        <v>48</v>
      </c>
      <c r="K1827" t="s">
        <v>45</v>
      </c>
      <c r="L1827" t="s">
        <v>45</v>
      </c>
      <c r="M1827" t="s">
        <v>67</v>
      </c>
      <c r="N1827" s="15">
        <v>170.56</v>
      </c>
      <c r="O1827" s="16">
        <v>1.2</v>
      </c>
      <c r="P1827">
        <v>0</v>
      </c>
    </row>
    <row r="1828" spans="1:16" x14ac:dyDescent="0.3">
      <c r="A1828" t="s">
        <v>57</v>
      </c>
      <c r="B1828" t="s">
        <v>22</v>
      </c>
      <c r="C1828" t="s">
        <v>22</v>
      </c>
      <c r="D1828" t="s">
        <v>12</v>
      </c>
      <c r="E1828" t="s">
        <v>80</v>
      </c>
      <c r="F1828" t="s">
        <v>13</v>
      </c>
      <c r="G1828" s="15">
        <v>161.71</v>
      </c>
      <c r="H1828" t="s">
        <v>26</v>
      </c>
      <c r="I1828">
        <v>2</v>
      </c>
      <c r="J1828" t="s">
        <v>48</v>
      </c>
      <c r="K1828" t="s">
        <v>45</v>
      </c>
      <c r="L1828" t="s">
        <v>45</v>
      </c>
      <c r="M1828" t="s">
        <v>78</v>
      </c>
      <c r="N1828" s="15">
        <v>162.72999999999999</v>
      </c>
      <c r="O1828" s="16">
        <v>-0.6</v>
      </c>
      <c r="P1828">
        <v>0</v>
      </c>
    </row>
    <row r="1829" spans="1:16" x14ac:dyDescent="0.3">
      <c r="A1829" t="s">
        <v>60</v>
      </c>
      <c r="B1829" t="s">
        <v>20</v>
      </c>
      <c r="C1829" t="s">
        <v>20</v>
      </c>
      <c r="D1829" t="s">
        <v>12</v>
      </c>
      <c r="E1829" t="s">
        <v>80</v>
      </c>
      <c r="F1829" t="s">
        <v>13</v>
      </c>
      <c r="G1829" s="15">
        <v>174.86</v>
      </c>
      <c r="H1829" t="s">
        <v>27</v>
      </c>
      <c r="I1829">
        <v>3</v>
      </c>
      <c r="J1829" t="s">
        <v>47</v>
      </c>
      <c r="K1829" t="s">
        <v>45</v>
      </c>
      <c r="L1829" t="s">
        <v>45</v>
      </c>
      <c r="M1829" t="s">
        <v>59</v>
      </c>
      <c r="N1829" s="15">
        <v>167.63</v>
      </c>
      <c r="O1829" s="16">
        <v>4.3</v>
      </c>
      <c r="P1829">
        <v>0</v>
      </c>
    </row>
    <row r="1830" spans="1:16" x14ac:dyDescent="0.3">
      <c r="A1830" t="s">
        <v>60</v>
      </c>
      <c r="B1830" t="s">
        <v>18</v>
      </c>
      <c r="C1830" t="s">
        <v>18</v>
      </c>
      <c r="D1830" t="s">
        <v>14</v>
      </c>
      <c r="E1830" t="s">
        <v>77</v>
      </c>
      <c r="F1830" t="s">
        <v>9</v>
      </c>
      <c r="G1830" s="15">
        <v>63.03</v>
      </c>
      <c r="H1830" t="s">
        <v>27</v>
      </c>
      <c r="I1830">
        <v>3</v>
      </c>
      <c r="J1830" t="s">
        <v>48</v>
      </c>
      <c r="K1830" t="s">
        <v>46</v>
      </c>
      <c r="L1830" t="s">
        <v>45</v>
      </c>
      <c r="M1830" t="s">
        <v>61</v>
      </c>
      <c r="N1830" s="15">
        <v>67.13</v>
      </c>
      <c r="O1830" s="16">
        <v>-6.1</v>
      </c>
      <c r="P1830">
        <v>0</v>
      </c>
    </row>
    <row r="1831" spans="1:16" x14ac:dyDescent="0.3">
      <c r="A1831" t="s">
        <v>57</v>
      </c>
      <c r="B1831" t="s">
        <v>21</v>
      </c>
      <c r="C1831" t="s">
        <v>62</v>
      </c>
      <c r="D1831" t="s">
        <v>8</v>
      </c>
      <c r="E1831" t="s">
        <v>73</v>
      </c>
      <c r="F1831" t="s">
        <v>9</v>
      </c>
      <c r="G1831" s="15">
        <v>81.38</v>
      </c>
      <c r="H1831" t="s">
        <v>26</v>
      </c>
      <c r="I1831">
        <v>2</v>
      </c>
      <c r="J1831" t="s">
        <v>47</v>
      </c>
      <c r="K1831" t="s">
        <v>46</v>
      </c>
      <c r="L1831" t="s">
        <v>45</v>
      </c>
      <c r="M1831" t="s">
        <v>59</v>
      </c>
      <c r="N1831" s="15">
        <v>86.06</v>
      </c>
      <c r="O1831" s="16">
        <v>-5.4</v>
      </c>
      <c r="P1831">
        <v>0</v>
      </c>
    </row>
    <row r="1832" spans="1:16" x14ac:dyDescent="0.3">
      <c r="A1832" t="s">
        <v>57</v>
      </c>
      <c r="B1832" t="s">
        <v>21</v>
      </c>
      <c r="C1832" t="s">
        <v>62</v>
      </c>
      <c r="D1832" t="s">
        <v>8</v>
      </c>
      <c r="E1832" t="s">
        <v>74</v>
      </c>
      <c r="F1832" t="s">
        <v>9</v>
      </c>
      <c r="G1832" s="15">
        <v>77.94</v>
      </c>
      <c r="H1832" t="s">
        <v>27</v>
      </c>
      <c r="I1832">
        <v>3</v>
      </c>
      <c r="J1832" t="s">
        <v>48</v>
      </c>
      <c r="K1832" t="s">
        <v>46</v>
      </c>
      <c r="L1832" t="s">
        <v>45</v>
      </c>
      <c r="M1832" t="s">
        <v>59</v>
      </c>
      <c r="N1832" s="15">
        <v>83.41</v>
      </c>
      <c r="O1832" s="16">
        <v>-6.6</v>
      </c>
      <c r="P1832">
        <v>0</v>
      </c>
    </row>
    <row r="1833" spans="1:16" x14ac:dyDescent="0.3">
      <c r="A1833" t="s">
        <v>57</v>
      </c>
      <c r="B1833" t="s">
        <v>19</v>
      </c>
      <c r="C1833" t="s">
        <v>19</v>
      </c>
      <c r="D1833" t="s">
        <v>14</v>
      </c>
      <c r="E1833" t="s">
        <v>77</v>
      </c>
      <c r="F1833" t="s">
        <v>9</v>
      </c>
      <c r="G1833" s="15">
        <v>70.739999999999995</v>
      </c>
      <c r="H1833" t="s">
        <v>25</v>
      </c>
      <c r="I1833">
        <v>1</v>
      </c>
      <c r="J1833" t="s">
        <v>47</v>
      </c>
      <c r="K1833" t="s">
        <v>46</v>
      </c>
      <c r="L1833" t="s">
        <v>45</v>
      </c>
      <c r="M1833" t="s">
        <v>68</v>
      </c>
      <c r="N1833" s="15">
        <v>65.97</v>
      </c>
      <c r="O1833" s="16">
        <v>7.2</v>
      </c>
      <c r="P1833">
        <v>0</v>
      </c>
    </row>
    <row r="1834" spans="1:16" x14ac:dyDescent="0.3">
      <c r="A1834" t="s">
        <v>65</v>
      </c>
      <c r="B1834" t="s">
        <v>22</v>
      </c>
      <c r="C1834" t="s">
        <v>22</v>
      </c>
      <c r="D1834" t="s">
        <v>12</v>
      </c>
      <c r="E1834" t="s">
        <v>66</v>
      </c>
      <c r="F1834" t="s">
        <v>13</v>
      </c>
      <c r="G1834" s="15">
        <v>169.68</v>
      </c>
      <c r="H1834" t="s">
        <v>25</v>
      </c>
      <c r="I1834">
        <v>1</v>
      </c>
      <c r="J1834" t="s">
        <v>47</v>
      </c>
      <c r="K1834" t="s">
        <v>45</v>
      </c>
      <c r="L1834" t="s">
        <v>45</v>
      </c>
      <c r="M1834" t="s">
        <v>61</v>
      </c>
      <c r="N1834" s="15">
        <v>178.49</v>
      </c>
      <c r="O1834" s="16">
        <v>-4.9000000000000004</v>
      </c>
      <c r="P1834">
        <v>0</v>
      </c>
    </row>
    <row r="1835" spans="1:16" x14ac:dyDescent="0.3">
      <c r="A1835" t="s">
        <v>57</v>
      </c>
      <c r="B1835" t="s">
        <v>20</v>
      </c>
      <c r="C1835" t="s">
        <v>20</v>
      </c>
      <c r="D1835" t="s">
        <v>12</v>
      </c>
      <c r="E1835" t="s">
        <v>80</v>
      </c>
      <c r="F1835" t="s">
        <v>13</v>
      </c>
      <c r="G1835" s="15">
        <v>158.88</v>
      </c>
      <c r="H1835" t="s">
        <v>26</v>
      </c>
      <c r="I1835">
        <v>2</v>
      </c>
      <c r="J1835" t="s">
        <v>48</v>
      </c>
      <c r="K1835" t="s">
        <v>46</v>
      </c>
      <c r="L1835" t="s">
        <v>45</v>
      </c>
      <c r="M1835" t="s">
        <v>59</v>
      </c>
      <c r="N1835" s="15">
        <v>162.72999999999999</v>
      </c>
      <c r="O1835" s="16">
        <v>-2.4</v>
      </c>
      <c r="P1835">
        <v>0</v>
      </c>
    </row>
    <row r="1836" spans="1:16" x14ac:dyDescent="0.3">
      <c r="A1836" t="s">
        <v>57</v>
      </c>
      <c r="B1836" t="s">
        <v>18</v>
      </c>
      <c r="C1836" t="s">
        <v>18</v>
      </c>
      <c r="D1836" t="s">
        <v>10</v>
      </c>
      <c r="E1836" t="s">
        <v>58</v>
      </c>
      <c r="F1836" t="s">
        <v>9</v>
      </c>
      <c r="G1836" s="15">
        <v>143.16999999999999</v>
      </c>
      <c r="H1836" t="s">
        <v>27</v>
      </c>
      <c r="I1836">
        <v>3</v>
      </c>
      <c r="J1836" t="s">
        <v>48</v>
      </c>
      <c r="K1836" t="s">
        <v>46</v>
      </c>
      <c r="L1836" t="s">
        <v>45</v>
      </c>
      <c r="M1836" t="s">
        <v>61</v>
      </c>
      <c r="N1836" s="15">
        <v>151.19</v>
      </c>
      <c r="O1836" s="16">
        <v>-5.3</v>
      </c>
      <c r="P1836">
        <v>0</v>
      </c>
    </row>
    <row r="1837" spans="1:16" x14ac:dyDescent="0.3">
      <c r="A1837" t="s">
        <v>60</v>
      </c>
      <c r="B1837" t="s">
        <v>18</v>
      </c>
      <c r="C1837" t="s">
        <v>18</v>
      </c>
      <c r="D1837" t="s">
        <v>8</v>
      </c>
      <c r="E1837" t="s">
        <v>74</v>
      </c>
      <c r="F1837" t="s">
        <v>9</v>
      </c>
      <c r="G1837" s="15">
        <v>66.87</v>
      </c>
      <c r="H1837" t="s">
        <v>26</v>
      </c>
      <c r="I1837">
        <v>2</v>
      </c>
      <c r="J1837" t="s">
        <v>48</v>
      </c>
      <c r="K1837" t="s">
        <v>46</v>
      </c>
      <c r="L1837" t="s">
        <v>45</v>
      </c>
      <c r="M1837" t="s">
        <v>64</v>
      </c>
      <c r="N1837" s="15">
        <v>78.260000000000005</v>
      </c>
      <c r="O1837" s="16">
        <v>-14.6</v>
      </c>
      <c r="P1837">
        <v>0</v>
      </c>
    </row>
    <row r="1838" spans="1:16" x14ac:dyDescent="0.3">
      <c r="A1838" t="s">
        <v>57</v>
      </c>
      <c r="B1838" t="s">
        <v>21</v>
      </c>
      <c r="C1838" t="s">
        <v>62</v>
      </c>
      <c r="D1838" t="s">
        <v>8</v>
      </c>
      <c r="E1838" t="s">
        <v>74</v>
      </c>
      <c r="F1838" t="s">
        <v>9</v>
      </c>
      <c r="G1838" s="15">
        <v>72.739999999999995</v>
      </c>
      <c r="H1838" t="s">
        <v>27</v>
      </c>
      <c r="I1838">
        <v>3</v>
      </c>
      <c r="J1838" t="s">
        <v>47</v>
      </c>
      <c r="K1838" t="s">
        <v>45</v>
      </c>
      <c r="L1838" t="s">
        <v>45</v>
      </c>
      <c r="M1838" t="s">
        <v>78</v>
      </c>
      <c r="N1838" s="15">
        <v>83.41</v>
      </c>
      <c r="O1838" s="16">
        <v>-12.8</v>
      </c>
      <c r="P1838">
        <v>0</v>
      </c>
    </row>
    <row r="1839" spans="1:16" x14ac:dyDescent="0.3">
      <c r="A1839" t="s">
        <v>57</v>
      </c>
      <c r="B1839" t="s">
        <v>20</v>
      </c>
      <c r="C1839" t="s">
        <v>20</v>
      </c>
      <c r="D1839" t="s">
        <v>8</v>
      </c>
      <c r="E1839" t="s">
        <v>73</v>
      </c>
      <c r="F1839" t="s">
        <v>9</v>
      </c>
      <c r="G1839" s="15">
        <v>82.55</v>
      </c>
      <c r="H1839" t="s">
        <v>27</v>
      </c>
      <c r="I1839">
        <v>3</v>
      </c>
      <c r="J1839" t="s">
        <v>48</v>
      </c>
      <c r="K1839" t="s">
        <v>46</v>
      </c>
      <c r="L1839" t="s">
        <v>45</v>
      </c>
      <c r="M1839" t="s">
        <v>68</v>
      </c>
      <c r="N1839" s="15">
        <v>86.06</v>
      </c>
      <c r="O1839" s="16">
        <v>-4.0999999999999996</v>
      </c>
      <c r="P1839">
        <v>0</v>
      </c>
    </row>
    <row r="1840" spans="1:16" x14ac:dyDescent="0.3">
      <c r="A1840" t="s">
        <v>60</v>
      </c>
      <c r="B1840" t="s">
        <v>21</v>
      </c>
      <c r="C1840" t="s">
        <v>62</v>
      </c>
      <c r="D1840" t="s">
        <v>12</v>
      </c>
      <c r="E1840" t="s">
        <v>66</v>
      </c>
      <c r="F1840" t="s">
        <v>13</v>
      </c>
      <c r="G1840" s="15">
        <v>175.49</v>
      </c>
      <c r="H1840" t="s">
        <v>26</v>
      </c>
      <c r="I1840">
        <v>2</v>
      </c>
      <c r="J1840" t="s">
        <v>47</v>
      </c>
      <c r="K1840" t="s">
        <v>45</v>
      </c>
      <c r="L1840" t="s">
        <v>46</v>
      </c>
      <c r="M1840" t="s">
        <v>67</v>
      </c>
      <c r="N1840" s="15">
        <v>168.34</v>
      </c>
      <c r="O1840" s="16">
        <v>4.2</v>
      </c>
      <c r="P1840">
        <v>0</v>
      </c>
    </row>
    <row r="1841" spans="1:16" x14ac:dyDescent="0.3">
      <c r="A1841" t="s">
        <v>60</v>
      </c>
      <c r="B1841" t="s">
        <v>19</v>
      </c>
      <c r="C1841" t="s">
        <v>19</v>
      </c>
      <c r="D1841" t="s">
        <v>10</v>
      </c>
      <c r="E1841" t="s">
        <v>69</v>
      </c>
      <c r="F1841" t="s">
        <v>9</v>
      </c>
      <c r="G1841" s="15">
        <v>172.11</v>
      </c>
      <c r="H1841" t="s">
        <v>26</v>
      </c>
      <c r="I1841">
        <v>2</v>
      </c>
      <c r="J1841" t="s">
        <v>48</v>
      </c>
      <c r="K1841" t="s">
        <v>45</v>
      </c>
      <c r="L1841" t="s">
        <v>45</v>
      </c>
      <c r="M1841" t="s">
        <v>64</v>
      </c>
      <c r="N1841" s="15">
        <v>158.6</v>
      </c>
      <c r="O1841" s="16">
        <v>8.5</v>
      </c>
      <c r="P1841">
        <v>0</v>
      </c>
    </row>
    <row r="1842" spans="1:16" x14ac:dyDescent="0.3">
      <c r="A1842" t="s">
        <v>65</v>
      </c>
      <c r="B1842" t="s">
        <v>20</v>
      </c>
      <c r="C1842" t="s">
        <v>20</v>
      </c>
      <c r="D1842" t="s">
        <v>8</v>
      </c>
      <c r="E1842" t="s">
        <v>73</v>
      </c>
      <c r="F1842" t="s">
        <v>9</v>
      </c>
      <c r="G1842" s="15">
        <v>105.61</v>
      </c>
      <c r="H1842" t="s">
        <v>26</v>
      </c>
      <c r="I1842">
        <v>2</v>
      </c>
      <c r="J1842" t="s">
        <v>47</v>
      </c>
      <c r="K1842" t="s">
        <v>45</v>
      </c>
      <c r="L1842" t="s">
        <v>45</v>
      </c>
      <c r="M1842" t="s">
        <v>72</v>
      </c>
      <c r="N1842" s="15">
        <v>88.05</v>
      </c>
      <c r="O1842" s="16">
        <v>19.899999999999999</v>
      </c>
      <c r="P1842">
        <v>1</v>
      </c>
    </row>
    <row r="1843" spans="1:16" x14ac:dyDescent="0.3">
      <c r="A1843" t="s">
        <v>60</v>
      </c>
      <c r="B1843" t="s">
        <v>19</v>
      </c>
      <c r="C1843" t="s">
        <v>19</v>
      </c>
      <c r="D1843" t="s">
        <v>8</v>
      </c>
      <c r="E1843" t="s">
        <v>74</v>
      </c>
      <c r="F1843" t="s">
        <v>9</v>
      </c>
      <c r="G1843" s="15">
        <v>53.22</v>
      </c>
      <c r="H1843" t="s">
        <v>26</v>
      </c>
      <c r="I1843">
        <v>2</v>
      </c>
      <c r="J1843" t="s">
        <v>48</v>
      </c>
      <c r="K1843" t="s">
        <v>45</v>
      </c>
      <c r="L1843" t="s">
        <v>45</v>
      </c>
      <c r="M1843" t="s">
        <v>72</v>
      </c>
      <c r="N1843" s="15">
        <v>78.260000000000005</v>
      </c>
      <c r="O1843" s="16">
        <v>-32</v>
      </c>
      <c r="P1843">
        <v>0</v>
      </c>
    </row>
    <row r="1844" spans="1:16" x14ac:dyDescent="0.3">
      <c r="A1844" t="s">
        <v>65</v>
      </c>
      <c r="B1844" t="s">
        <v>19</v>
      </c>
      <c r="C1844" t="s">
        <v>19</v>
      </c>
      <c r="D1844" t="s">
        <v>11</v>
      </c>
      <c r="E1844" t="s">
        <v>70</v>
      </c>
      <c r="F1844" t="s">
        <v>9</v>
      </c>
      <c r="G1844" s="15">
        <v>28.08</v>
      </c>
      <c r="H1844" t="s">
        <v>27</v>
      </c>
      <c r="I1844">
        <v>3</v>
      </c>
      <c r="J1844" t="s">
        <v>47</v>
      </c>
      <c r="K1844" t="s">
        <v>46</v>
      </c>
      <c r="L1844" t="s">
        <v>46</v>
      </c>
      <c r="M1844" t="s">
        <v>72</v>
      </c>
      <c r="N1844" s="15">
        <v>32.630000000000003</v>
      </c>
      <c r="O1844" s="16">
        <v>-13.9</v>
      </c>
      <c r="P1844">
        <v>0</v>
      </c>
    </row>
    <row r="1845" spans="1:16" x14ac:dyDescent="0.3">
      <c r="A1845" t="s">
        <v>65</v>
      </c>
      <c r="B1845" t="s">
        <v>21</v>
      </c>
      <c r="C1845" t="s">
        <v>62</v>
      </c>
      <c r="D1845" t="s">
        <v>12</v>
      </c>
      <c r="E1845" t="s">
        <v>66</v>
      </c>
      <c r="F1845" t="s">
        <v>13</v>
      </c>
      <c r="G1845" s="15">
        <v>181.82</v>
      </c>
      <c r="H1845" t="s">
        <v>27</v>
      </c>
      <c r="I1845">
        <v>3</v>
      </c>
      <c r="J1845" t="s">
        <v>48</v>
      </c>
      <c r="K1845" t="s">
        <v>45</v>
      </c>
      <c r="L1845" t="s">
        <v>46</v>
      </c>
      <c r="M1845" t="s">
        <v>67</v>
      </c>
      <c r="N1845" s="15">
        <v>178.49</v>
      </c>
      <c r="O1845" s="16">
        <v>1.9</v>
      </c>
      <c r="P1845">
        <v>0</v>
      </c>
    </row>
    <row r="1846" spans="1:16" x14ac:dyDescent="0.3">
      <c r="A1846" t="s">
        <v>65</v>
      </c>
      <c r="B1846" t="s">
        <v>22</v>
      </c>
      <c r="C1846" t="s">
        <v>22</v>
      </c>
      <c r="D1846" t="s">
        <v>11</v>
      </c>
      <c r="E1846" t="s">
        <v>79</v>
      </c>
      <c r="F1846" t="s">
        <v>9</v>
      </c>
      <c r="G1846" s="15">
        <v>30.58</v>
      </c>
      <c r="H1846" t="s">
        <v>27</v>
      </c>
      <c r="I1846">
        <v>3</v>
      </c>
      <c r="J1846" t="s">
        <v>47</v>
      </c>
      <c r="K1846" t="s">
        <v>45</v>
      </c>
      <c r="L1846" t="s">
        <v>45</v>
      </c>
      <c r="M1846" t="s">
        <v>64</v>
      </c>
      <c r="N1846" s="15">
        <v>33.39</v>
      </c>
      <c r="O1846" s="16">
        <v>-8.4</v>
      </c>
      <c r="P1846">
        <v>0</v>
      </c>
    </row>
    <row r="1847" spans="1:16" x14ac:dyDescent="0.3">
      <c r="A1847" t="s">
        <v>57</v>
      </c>
      <c r="B1847" t="s">
        <v>21</v>
      </c>
      <c r="C1847" t="s">
        <v>62</v>
      </c>
      <c r="D1847" t="s">
        <v>11</v>
      </c>
      <c r="E1847" t="s">
        <v>79</v>
      </c>
      <c r="F1847" t="s">
        <v>9</v>
      </c>
      <c r="G1847" s="15">
        <v>40</v>
      </c>
      <c r="H1847" t="s">
        <v>25</v>
      </c>
      <c r="I1847">
        <v>1</v>
      </c>
      <c r="J1847" t="s">
        <v>47</v>
      </c>
      <c r="K1847" t="s">
        <v>45</v>
      </c>
      <c r="L1847" t="s">
        <v>45</v>
      </c>
      <c r="M1847" t="s">
        <v>68</v>
      </c>
      <c r="N1847" s="15">
        <v>30.93</v>
      </c>
      <c r="O1847" s="16">
        <v>29.3</v>
      </c>
      <c r="P1847">
        <v>1</v>
      </c>
    </row>
    <row r="1848" spans="1:16" x14ac:dyDescent="0.3">
      <c r="A1848" t="s">
        <v>60</v>
      </c>
      <c r="B1848" t="s">
        <v>19</v>
      </c>
      <c r="C1848" t="s">
        <v>19</v>
      </c>
      <c r="D1848" t="s">
        <v>14</v>
      </c>
      <c r="E1848" t="s">
        <v>77</v>
      </c>
      <c r="F1848" t="s">
        <v>9</v>
      </c>
      <c r="G1848" s="15">
        <v>70.599999999999994</v>
      </c>
      <c r="H1848" t="s">
        <v>26</v>
      </c>
      <c r="I1848">
        <v>2</v>
      </c>
      <c r="J1848" t="s">
        <v>48</v>
      </c>
      <c r="K1848" t="s">
        <v>45</v>
      </c>
      <c r="L1848" t="s">
        <v>45</v>
      </c>
      <c r="M1848" t="s">
        <v>61</v>
      </c>
      <c r="N1848" s="15">
        <v>67.13</v>
      </c>
      <c r="O1848" s="16">
        <v>5.2</v>
      </c>
      <c r="P1848">
        <v>0</v>
      </c>
    </row>
    <row r="1849" spans="1:16" x14ac:dyDescent="0.3">
      <c r="A1849" t="s">
        <v>57</v>
      </c>
      <c r="B1849" t="s">
        <v>21</v>
      </c>
      <c r="C1849" t="s">
        <v>62</v>
      </c>
      <c r="D1849" t="s">
        <v>10</v>
      </c>
      <c r="E1849" t="s">
        <v>69</v>
      </c>
      <c r="F1849" t="s">
        <v>9</v>
      </c>
      <c r="G1849" s="15">
        <v>126.28</v>
      </c>
      <c r="H1849" t="s">
        <v>27</v>
      </c>
      <c r="I1849">
        <v>3</v>
      </c>
      <c r="J1849" t="s">
        <v>48</v>
      </c>
      <c r="K1849" t="s">
        <v>46</v>
      </c>
      <c r="L1849" t="s">
        <v>45</v>
      </c>
      <c r="M1849" t="s">
        <v>78</v>
      </c>
      <c r="N1849" s="15">
        <v>150.38999999999999</v>
      </c>
      <c r="O1849" s="16">
        <v>-16</v>
      </c>
      <c r="P1849">
        <v>0</v>
      </c>
    </row>
    <row r="1850" spans="1:16" x14ac:dyDescent="0.3">
      <c r="A1850" t="s">
        <v>57</v>
      </c>
      <c r="B1850" t="s">
        <v>21</v>
      </c>
      <c r="C1850" t="s">
        <v>62</v>
      </c>
      <c r="D1850" t="s">
        <v>15</v>
      </c>
      <c r="E1850" t="s">
        <v>75</v>
      </c>
      <c r="F1850" t="s">
        <v>9</v>
      </c>
      <c r="G1850" s="15">
        <v>120.14</v>
      </c>
      <c r="H1850" t="s">
        <v>25</v>
      </c>
      <c r="I1850">
        <v>1</v>
      </c>
      <c r="J1850" t="s">
        <v>47</v>
      </c>
      <c r="K1850" t="s">
        <v>46</v>
      </c>
      <c r="L1850" t="s">
        <v>45</v>
      </c>
      <c r="M1850" t="s">
        <v>67</v>
      </c>
      <c r="N1850" s="15">
        <v>120.06</v>
      </c>
      <c r="O1850" s="16">
        <v>0.1</v>
      </c>
      <c r="P1850">
        <v>0</v>
      </c>
    </row>
    <row r="1851" spans="1:16" x14ac:dyDescent="0.3">
      <c r="A1851" t="s">
        <v>65</v>
      </c>
      <c r="B1851" t="s">
        <v>17</v>
      </c>
      <c r="C1851" t="s">
        <v>17</v>
      </c>
      <c r="D1851" t="s">
        <v>10</v>
      </c>
      <c r="E1851" t="s">
        <v>69</v>
      </c>
      <c r="F1851" t="s">
        <v>9</v>
      </c>
      <c r="G1851" s="15">
        <v>179.44</v>
      </c>
      <c r="H1851" t="s">
        <v>26</v>
      </c>
      <c r="I1851">
        <v>2</v>
      </c>
      <c r="J1851" t="s">
        <v>47</v>
      </c>
      <c r="K1851" t="s">
        <v>45</v>
      </c>
      <c r="L1851" t="s">
        <v>46</v>
      </c>
      <c r="M1851" t="s">
        <v>61</v>
      </c>
      <c r="N1851" s="15">
        <v>158.91999999999999</v>
      </c>
      <c r="O1851" s="16">
        <v>12.9</v>
      </c>
      <c r="P1851">
        <v>0</v>
      </c>
    </row>
    <row r="1852" spans="1:16" x14ac:dyDescent="0.3">
      <c r="A1852" t="s">
        <v>57</v>
      </c>
      <c r="B1852" t="s">
        <v>18</v>
      </c>
      <c r="C1852" t="s">
        <v>18</v>
      </c>
      <c r="D1852" t="s">
        <v>11</v>
      </c>
      <c r="E1852" t="s">
        <v>79</v>
      </c>
      <c r="F1852" t="s">
        <v>9</v>
      </c>
      <c r="G1852" s="15">
        <v>29.94</v>
      </c>
      <c r="H1852" t="s">
        <v>25</v>
      </c>
      <c r="I1852">
        <v>1</v>
      </c>
      <c r="J1852" t="s">
        <v>48</v>
      </c>
      <c r="K1852" t="s">
        <v>45</v>
      </c>
      <c r="L1852" t="s">
        <v>45</v>
      </c>
      <c r="M1852" t="s">
        <v>61</v>
      </c>
      <c r="N1852" s="15">
        <v>30.93</v>
      </c>
      <c r="O1852" s="16">
        <v>-3.2</v>
      </c>
      <c r="P1852">
        <v>0</v>
      </c>
    </row>
    <row r="1853" spans="1:16" x14ac:dyDescent="0.3">
      <c r="A1853" t="s">
        <v>65</v>
      </c>
      <c r="B1853" t="s">
        <v>20</v>
      </c>
      <c r="C1853" t="s">
        <v>20</v>
      </c>
      <c r="D1853" t="s">
        <v>11</v>
      </c>
      <c r="E1853" t="s">
        <v>70</v>
      </c>
      <c r="F1853" t="s">
        <v>9</v>
      </c>
      <c r="G1853" s="15">
        <v>30.9</v>
      </c>
      <c r="H1853" t="s">
        <v>26</v>
      </c>
      <c r="I1853">
        <v>2</v>
      </c>
      <c r="J1853" t="s">
        <v>48</v>
      </c>
      <c r="K1853" t="s">
        <v>45</v>
      </c>
      <c r="L1853" t="s">
        <v>45</v>
      </c>
      <c r="M1853" t="s">
        <v>68</v>
      </c>
      <c r="N1853" s="15">
        <v>32.630000000000003</v>
      </c>
      <c r="O1853" s="16">
        <v>-5.3</v>
      </c>
      <c r="P1853">
        <v>0</v>
      </c>
    </row>
    <row r="1854" spans="1:16" x14ac:dyDescent="0.3">
      <c r="A1854" t="s">
        <v>65</v>
      </c>
      <c r="B1854" t="s">
        <v>21</v>
      </c>
      <c r="C1854" t="s">
        <v>62</v>
      </c>
      <c r="D1854" t="s">
        <v>10</v>
      </c>
      <c r="E1854" t="s">
        <v>69</v>
      </c>
      <c r="F1854" t="s">
        <v>9</v>
      </c>
      <c r="G1854" s="15">
        <v>181.99</v>
      </c>
      <c r="H1854" t="s">
        <v>26</v>
      </c>
      <c r="I1854">
        <v>2</v>
      </c>
      <c r="J1854" t="s">
        <v>48</v>
      </c>
      <c r="K1854" t="s">
        <v>45</v>
      </c>
      <c r="L1854" t="s">
        <v>46</v>
      </c>
      <c r="M1854" t="s">
        <v>59</v>
      </c>
      <c r="N1854" s="15">
        <v>158.91999999999999</v>
      </c>
      <c r="O1854" s="16">
        <v>14.5</v>
      </c>
      <c r="P1854">
        <v>0</v>
      </c>
    </row>
    <row r="1855" spans="1:16" x14ac:dyDescent="0.3">
      <c r="A1855" t="s">
        <v>65</v>
      </c>
      <c r="B1855" t="s">
        <v>20</v>
      </c>
      <c r="C1855" t="s">
        <v>20</v>
      </c>
      <c r="D1855" t="s">
        <v>15</v>
      </c>
      <c r="E1855" t="s">
        <v>76</v>
      </c>
      <c r="F1855" t="s">
        <v>9</v>
      </c>
      <c r="G1855" s="15">
        <v>100.77</v>
      </c>
      <c r="H1855" t="s">
        <v>27</v>
      </c>
      <c r="I1855">
        <v>3</v>
      </c>
      <c r="J1855" t="s">
        <v>48</v>
      </c>
      <c r="K1855" t="s">
        <v>45</v>
      </c>
      <c r="L1855" t="s">
        <v>45</v>
      </c>
      <c r="M1855" t="s">
        <v>61</v>
      </c>
      <c r="N1855" s="15">
        <v>126.51</v>
      </c>
      <c r="O1855" s="16">
        <v>-20.3</v>
      </c>
      <c r="P1855">
        <v>0</v>
      </c>
    </row>
    <row r="1856" spans="1:16" x14ac:dyDescent="0.3">
      <c r="A1856" t="s">
        <v>57</v>
      </c>
      <c r="B1856" t="s">
        <v>21</v>
      </c>
      <c r="C1856" t="s">
        <v>62</v>
      </c>
      <c r="D1856" t="s">
        <v>11</v>
      </c>
      <c r="E1856" t="s">
        <v>79</v>
      </c>
      <c r="F1856" t="s">
        <v>9</v>
      </c>
      <c r="G1856" s="15">
        <v>31.73</v>
      </c>
      <c r="H1856" t="s">
        <v>26</v>
      </c>
      <c r="I1856">
        <v>2</v>
      </c>
      <c r="J1856" t="s">
        <v>48</v>
      </c>
      <c r="K1856" t="s">
        <v>45</v>
      </c>
      <c r="L1856" t="s">
        <v>45</v>
      </c>
      <c r="M1856" t="s">
        <v>78</v>
      </c>
      <c r="N1856" s="15">
        <v>30.93</v>
      </c>
      <c r="O1856" s="16">
        <v>2.6</v>
      </c>
      <c r="P1856">
        <v>0</v>
      </c>
    </row>
    <row r="1857" spans="1:16" x14ac:dyDescent="0.3">
      <c r="A1857" t="s">
        <v>60</v>
      </c>
      <c r="B1857" t="s">
        <v>19</v>
      </c>
      <c r="C1857" t="s">
        <v>19</v>
      </c>
      <c r="D1857" t="s">
        <v>15</v>
      </c>
      <c r="E1857" t="s">
        <v>75</v>
      </c>
      <c r="F1857" t="s">
        <v>9</v>
      </c>
      <c r="G1857" s="15">
        <v>117.75</v>
      </c>
      <c r="H1857" t="s">
        <v>26</v>
      </c>
      <c r="I1857">
        <v>2</v>
      </c>
      <c r="J1857" t="s">
        <v>48</v>
      </c>
      <c r="K1857" t="s">
        <v>45</v>
      </c>
      <c r="L1857" t="s">
        <v>45</v>
      </c>
      <c r="M1857" t="s">
        <v>67</v>
      </c>
      <c r="N1857" s="15">
        <v>119</v>
      </c>
      <c r="O1857" s="16">
        <v>-1.1000000000000001</v>
      </c>
      <c r="P1857">
        <v>0</v>
      </c>
    </row>
    <row r="1858" spans="1:16" x14ac:dyDescent="0.3">
      <c r="A1858" t="s">
        <v>65</v>
      </c>
      <c r="B1858" t="s">
        <v>22</v>
      </c>
      <c r="C1858" t="s">
        <v>22</v>
      </c>
      <c r="D1858" t="s">
        <v>11</v>
      </c>
      <c r="E1858" t="s">
        <v>70</v>
      </c>
      <c r="F1858" t="s">
        <v>9</v>
      </c>
      <c r="G1858" s="15">
        <v>36.49</v>
      </c>
      <c r="H1858" t="s">
        <v>26</v>
      </c>
      <c r="I1858">
        <v>2</v>
      </c>
      <c r="J1858" t="s">
        <v>47</v>
      </c>
      <c r="K1858" t="s">
        <v>46</v>
      </c>
      <c r="L1858" t="s">
        <v>45</v>
      </c>
      <c r="M1858" t="s">
        <v>61</v>
      </c>
      <c r="N1858" s="15">
        <v>32.630000000000003</v>
      </c>
      <c r="O1858" s="16">
        <v>11.8</v>
      </c>
      <c r="P1858">
        <v>0</v>
      </c>
    </row>
    <row r="1859" spans="1:16" x14ac:dyDescent="0.3">
      <c r="A1859" t="s">
        <v>60</v>
      </c>
      <c r="B1859" t="s">
        <v>18</v>
      </c>
      <c r="C1859" t="s">
        <v>18</v>
      </c>
      <c r="D1859" t="s">
        <v>14</v>
      </c>
      <c r="E1859" t="s">
        <v>63</v>
      </c>
      <c r="F1859" t="s">
        <v>9</v>
      </c>
      <c r="G1859" s="15">
        <v>59.49</v>
      </c>
      <c r="H1859" t="s">
        <v>26</v>
      </c>
      <c r="I1859">
        <v>2</v>
      </c>
      <c r="J1859" t="s">
        <v>48</v>
      </c>
      <c r="K1859" t="s">
        <v>46</v>
      </c>
      <c r="L1859" t="s">
        <v>45</v>
      </c>
      <c r="M1859" t="s">
        <v>72</v>
      </c>
      <c r="N1859" s="15">
        <v>66.680000000000007</v>
      </c>
      <c r="O1859" s="16">
        <v>-10.8</v>
      </c>
      <c r="P1859">
        <v>0</v>
      </c>
    </row>
    <row r="1860" spans="1:16" x14ac:dyDescent="0.3">
      <c r="A1860" t="s">
        <v>60</v>
      </c>
      <c r="B1860" t="s">
        <v>17</v>
      </c>
      <c r="C1860" t="s">
        <v>17</v>
      </c>
      <c r="D1860" t="s">
        <v>10</v>
      </c>
      <c r="E1860" t="s">
        <v>69</v>
      </c>
      <c r="F1860" t="s">
        <v>9</v>
      </c>
      <c r="G1860" s="15">
        <v>167.6</v>
      </c>
      <c r="H1860" t="s">
        <v>26</v>
      </c>
      <c r="I1860">
        <v>2</v>
      </c>
      <c r="J1860" t="s">
        <v>47</v>
      </c>
      <c r="K1860" t="s">
        <v>46</v>
      </c>
      <c r="L1860" t="s">
        <v>45</v>
      </c>
      <c r="M1860" t="s">
        <v>59</v>
      </c>
      <c r="N1860" s="15">
        <v>158.6</v>
      </c>
      <c r="O1860" s="16">
        <v>5.7</v>
      </c>
      <c r="P1860">
        <v>0</v>
      </c>
    </row>
    <row r="1861" spans="1:16" x14ac:dyDescent="0.3">
      <c r="A1861" t="s">
        <v>65</v>
      </c>
      <c r="B1861" t="s">
        <v>22</v>
      </c>
      <c r="C1861" t="s">
        <v>22</v>
      </c>
      <c r="D1861" t="s">
        <v>14</v>
      </c>
      <c r="E1861" t="s">
        <v>71</v>
      </c>
      <c r="F1861" t="s">
        <v>9</v>
      </c>
      <c r="G1861" s="15">
        <v>76.23</v>
      </c>
      <c r="H1861" t="s">
        <v>25</v>
      </c>
      <c r="I1861">
        <v>1</v>
      </c>
      <c r="J1861" t="s">
        <v>47</v>
      </c>
      <c r="K1861" t="s">
        <v>45</v>
      </c>
      <c r="L1861" t="s">
        <v>45</v>
      </c>
      <c r="M1861" t="s">
        <v>68</v>
      </c>
      <c r="N1861" s="15">
        <v>71.77</v>
      </c>
      <c r="O1861" s="16">
        <v>6.2</v>
      </c>
      <c r="P1861">
        <v>0</v>
      </c>
    </row>
    <row r="1862" spans="1:16" x14ac:dyDescent="0.3">
      <c r="A1862" t="s">
        <v>57</v>
      </c>
      <c r="B1862" t="s">
        <v>22</v>
      </c>
      <c r="C1862" t="s">
        <v>22</v>
      </c>
      <c r="D1862" t="s">
        <v>15</v>
      </c>
      <c r="E1862" t="s">
        <v>76</v>
      </c>
      <c r="F1862" t="s">
        <v>9</v>
      </c>
      <c r="G1862" s="15">
        <v>94.61</v>
      </c>
      <c r="H1862" t="s">
        <v>26</v>
      </c>
      <c r="I1862">
        <v>2</v>
      </c>
      <c r="J1862" t="s">
        <v>48</v>
      </c>
      <c r="K1862" t="s">
        <v>46</v>
      </c>
      <c r="L1862" t="s">
        <v>45</v>
      </c>
      <c r="M1862" t="s">
        <v>59</v>
      </c>
      <c r="N1862" s="15">
        <v>118.59</v>
      </c>
      <c r="O1862" s="16">
        <v>-20.2</v>
      </c>
      <c r="P1862">
        <v>0</v>
      </c>
    </row>
    <row r="1863" spans="1:16" x14ac:dyDescent="0.3">
      <c r="A1863" t="s">
        <v>65</v>
      </c>
      <c r="B1863" t="s">
        <v>19</v>
      </c>
      <c r="C1863" t="s">
        <v>19</v>
      </c>
      <c r="D1863" t="s">
        <v>15</v>
      </c>
      <c r="E1863" t="s">
        <v>75</v>
      </c>
      <c r="F1863" t="s">
        <v>9</v>
      </c>
      <c r="G1863" s="15">
        <v>108.2</v>
      </c>
      <c r="H1863" t="s">
        <v>26</v>
      </c>
      <c r="I1863">
        <v>2</v>
      </c>
      <c r="J1863" t="s">
        <v>48</v>
      </c>
      <c r="K1863" t="s">
        <v>45</v>
      </c>
      <c r="L1863" t="s">
        <v>45</v>
      </c>
      <c r="M1863" t="s">
        <v>78</v>
      </c>
      <c r="N1863" s="15">
        <v>126.9</v>
      </c>
      <c r="O1863" s="16">
        <v>-14.7</v>
      </c>
      <c r="P1863">
        <v>0</v>
      </c>
    </row>
    <row r="1864" spans="1:16" x14ac:dyDescent="0.3">
      <c r="A1864" t="s">
        <v>65</v>
      </c>
      <c r="B1864" t="s">
        <v>21</v>
      </c>
      <c r="C1864" t="s">
        <v>62</v>
      </c>
      <c r="D1864" t="s">
        <v>14</v>
      </c>
      <c r="E1864" t="s">
        <v>71</v>
      </c>
      <c r="F1864" t="s">
        <v>9</v>
      </c>
      <c r="G1864" s="15">
        <v>80</v>
      </c>
      <c r="H1864" t="s">
        <v>25</v>
      </c>
      <c r="I1864">
        <v>1</v>
      </c>
      <c r="J1864" t="s">
        <v>47</v>
      </c>
      <c r="K1864" t="s">
        <v>45</v>
      </c>
      <c r="L1864" t="s">
        <v>46</v>
      </c>
      <c r="M1864" t="s">
        <v>68</v>
      </c>
      <c r="N1864" s="15">
        <v>71.77</v>
      </c>
      <c r="O1864" s="16">
        <v>11.5</v>
      </c>
      <c r="P1864">
        <v>0</v>
      </c>
    </row>
    <row r="1865" spans="1:16" x14ac:dyDescent="0.3">
      <c r="A1865" t="s">
        <v>57</v>
      </c>
      <c r="B1865" t="s">
        <v>21</v>
      </c>
      <c r="C1865" t="s">
        <v>62</v>
      </c>
      <c r="D1865" t="s">
        <v>12</v>
      </c>
      <c r="E1865" t="s">
        <v>80</v>
      </c>
      <c r="F1865" t="s">
        <v>13</v>
      </c>
      <c r="G1865" s="15">
        <v>144.26</v>
      </c>
      <c r="H1865" t="s">
        <v>27</v>
      </c>
      <c r="I1865">
        <v>3</v>
      </c>
      <c r="J1865" t="s">
        <v>48</v>
      </c>
      <c r="K1865" t="s">
        <v>46</v>
      </c>
      <c r="L1865" t="s">
        <v>45</v>
      </c>
      <c r="M1865" t="s">
        <v>68</v>
      </c>
      <c r="N1865" s="15">
        <v>162.72999999999999</v>
      </c>
      <c r="O1865" s="16">
        <v>-11.4</v>
      </c>
      <c r="P1865">
        <v>0</v>
      </c>
    </row>
    <row r="1866" spans="1:16" x14ac:dyDescent="0.3">
      <c r="A1866" t="s">
        <v>57</v>
      </c>
      <c r="B1866" t="s">
        <v>22</v>
      </c>
      <c r="C1866" t="s">
        <v>22</v>
      </c>
      <c r="D1866" t="s">
        <v>14</v>
      </c>
      <c r="E1866" t="s">
        <v>71</v>
      </c>
      <c r="F1866" t="s">
        <v>9</v>
      </c>
      <c r="G1866" s="15">
        <v>80</v>
      </c>
      <c r="H1866" t="s">
        <v>25</v>
      </c>
      <c r="I1866">
        <v>1</v>
      </c>
      <c r="J1866" t="s">
        <v>44</v>
      </c>
      <c r="K1866" t="s">
        <v>46</v>
      </c>
      <c r="L1866" t="s">
        <v>46</v>
      </c>
      <c r="M1866" t="s">
        <v>61</v>
      </c>
      <c r="N1866" s="15">
        <v>65.77</v>
      </c>
      <c r="O1866" s="16">
        <v>21.6</v>
      </c>
      <c r="P1866">
        <v>1</v>
      </c>
    </row>
    <row r="1867" spans="1:16" x14ac:dyDescent="0.3">
      <c r="A1867" t="s">
        <v>60</v>
      </c>
      <c r="B1867" t="s">
        <v>17</v>
      </c>
      <c r="C1867" t="s">
        <v>17</v>
      </c>
      <c r="D1867" t="s">
        <v>8</v>
      </c>
      <c r="E1867" t="s">
        <v>73</v>
      </c>
      <c r="F1867" t="s">
        <v>9</v>
      </c>
      <c r="G1867" s="15">
        <v>97.87</v>
      </c>
      <c r="H1867" t="s">
        <v>26</v>
      </c>
      <c r="I1867">
        <v>2</v>
      </c>
      <c r="J1867" t="s">
        <v>48</v>
      </c>
      <c r="K1867" t="s">
        <v>45</v>
      </c>
      <c r="L1867" t="s">
        <v>45</v>
      </c>
      <c r="M1867" t="s">
        <v>61</v>
      </c>
      <c r="N1867" s="15">
        <v>82.04</v>
      </c>
      <c r="O1867" s="16">
        <v>19.3</v>
      </c>
      <c r="P1867">
        <v>1</v>
      </c>
    </row>
    <row r="1868" spans="1:16" x14ac:dyDescent="0.3">
      <c r="A1868" t="s">
        <v>57</v>
      </c>
      <c r="B1868" t="s">
        <v>21</v>
      </c>
      <c r="C1868" t="s">
        <v>62</v>
      </c>
      <c r="D1868" t="s">
        <v>12</v>
      </c>
      <c r="E1868" t="s">
        <v>80</v>
      </c>
      <c r="F1868" t="s">
        <v>13</v>
      </c>
      <c r="G1868" s="15">
        <v>180.65</v>
      </c>
      <c r="H1868" t="s">
        <v>26</v>
      </c>
      <c r="I1868">
        <v>2</v>
      </c>
      <c r="J1868" t="s">
        <v>48</v>
      </c>
      <c r="K1868" t="s">
        <v>45</v>
      </c>
      <c r="L1868" t="s">
        <v>45</v>
      </c>
      <c r="M1868" t="s">
        <v>59</v>
      </c>
      <c r="N1868" s="15">
        <v>162.72999999999999</v>
      </c>
      <c r="O1868" s="16">
        <v>11</v>
      </c>
      <c r="P1868">
        <v>0</v>
      </c>
    </row>
    <row r="1869" spans="1:16" x14ac:dyDescent="0.3">
      <c r="A1869" t="s">
        <v>57</v>
      </c>
      <c r="B1869" t="s">
        <v>21</v>
      </c>
      <c r="C1869" t="s">
        <v>62</v>
      </c>
      <c r="D1869" t="s">
        <v>10</v>
      </c>
      <c r="E1869" t="s">
        <v>69</v>
      </c>
      <c r="F1869" t="s">
        <v>9</v>
      </c>
      <c r="G1869" s="15">
        <v>148.58000000000001</v>
      </c>
      <c r="H1869" t="s">
        <v>26</v>
      </c>
      <c r="I1869">
        <v>2</v>
      </c>
      <c r="J1869" t="s">
        <v>48</v>
      </c>
      <c r="K1869" t="s">
        <v>46</v>
      </c>
      <c r="L1869" t="s">
        <v>45</v>
      </c>
      <c r="M1869" t="s">
        <v>61</v>
      </c>
      <c r="N1869" s="15">
        <v>150.38999999999999</v>
      </c>
      <c r="O1869" s="16">
        <v>-1.2</v>
      </c>
      <c r="P1869">
        <v>0</v>
      </c>
    </row>
    <row r="1870" spans="1:16" x14ac:dyDescent="0.3">
      <c r="A1870" t="s">
        <v>57</v>
      </c>
      <c r="B1870" t="s">
        <v>19</v>
      </c>
      <c r="C1870" t="s">
        <v>19</v>
      </c>
      <c r="D1870" t="s">
        <v>11</v>
      </c>
      <c r="E1870" t="s">
        <v>79</v>
      </c>
      <c r="F1870" t="s">
        <v>9</v>
      </c>
      <c r="G1870" s="15">
        <v>37.03</v>
      </c>
      <c r="H1870" t="s">
        <v>25</v>
      </c>
      <c r="I1870">
        <v>1</v>
      </c>
      <c r="J1870" t="s">
        <v>47</v>
      </c>
      <c r="K1870" t="s">
        <v>46</v>
      </c>
      <c r="L1870" t="s">
        <v>46</v>
      </c>
      <c r="M1870" t="s">
        <v>68</v>
      </c>
      <c r="N1870" s="15">
        <v>30.93</v>
      </c>
      <c r="O1870" s="16">
        <v>19.7</v>
      </c>
      <c r="P1870">
        <v>1</v>
      </c>
    </row>
    <row r="1871" spans="1:16" x14ac:dyDescent="0.3">
      <c r="A1871" t="s">
        <v>57</v>
      </c>
      <c r="B1871" t="s">
        <v>21</v>
      </c>
      <c r="C1871" t="s">
        <v>62</v>
      </c>
      <c r="D1871" t="s">
        <v>15</v>
      </c>
      <c r="E1871" t="s">
        <v>75</v>
      </c>
      <c r="F1871" t="s">
        <v>9</v>
      </c>
      <c r="G1871" s="15">
        <v>126.36</v>
      </c>
      <c r="H1871" t="s">
        <v>27</v>
      </c>
      <c r="I1871">
        <v>3</v>
      </c>
      <c r="J1871" t="s">
        <v>48</v>
      </c>
      <c r="K1871" t="s">
        <v>45</v>
      </c>
      <c r="L1871" t="s">
        <v>45</v>
      </c>
      <c r="M1871" t="s">
        <v>67</v>
      </c>
      <c r="N1871" s="15">
        <v>120.06</v>
      </c>
      <c r="O1871" s="16">
        <v>5.2</v>
      </c>
      <c r="P1871">
        <v>0</v>
      </c>
    </row>
    <row r="1872" spans="1:16" x14ac:dyDescent="0.3">
      <c r="A1872" t="s">
        <v>65</v>
      </c>
      <c r="B1872" t="s">
        <v>19</v>
      </c>
      <c r="C1872" t="s">
        <v>19</v>
      </c>
      <c r="D1872" t="s">
        <v>8</v>
      </c>
      <c r="E1872" t="s">
        <v>74</v>
      </c>
      <c r="F1872" t="s">
        <v>9</v>
      </c>
      <c r="G1872" s="15">
        <v>80.59</v>
      </c>
      <c r="H1872" t="s">
        <v>27</v>
      </c>
      <c r="I1872">
        <v>3</v>
      </c>
      <c r="J1872" t="s">
        <v>47</v>
      </c>
      <c r="K1872" t="s">
        <v>45</v>
      </c>
      <c r="L1872" t="s">
        <v>46</v>
      </c>
      <c r="M1872" t="s">
        <v>72</v>
      </c>
      <c r="N1872" s="15">
        <v>91.13</v>
      </c>
      <c r="O1872" s="16">
        <v>-11.6</v>
      </c>
      <c r="P1872">
        <v>0</v>
      </c>
    </row>
    <row r="1873" spans="1:16" x14ac:dyDescent="0.3">
      <c r="A1873" t="s">
        <v>65</v>
      </c>
      <c r="B1873" t="s">
        <v>17</v>
      </c>
      <c r="C1873" t="s">
        <v>17</v>
      </c>
      <c r="D1873" t="s">
        <v>10</v>
      </c>
      <c r="E1873" t="s">
        <v>58</v>
      </c>
      <c r="F1873" t="s">
        <v>9</v>
      </c>
      <c r="G1873" s="15">
        <v>141.6</v>
      </c>
      <c r="H1873" t="s">
        <v>26</v>
      </c>
      <c r="I1873">
        <v>2</v>
      </c>
      <c r="J1873" t="s">
        <v>47</v>
      </c>
      <c r="K1873" t="s">
        <v>45</v>
      </c>
      <c r="L1873" t="s">
        <v>45</v>
      </c>
      <c r="M1873" t="s">
        <v>68</v>
      </c>
      <c r="N1873" s="15">
        <v>166.29</v>
      </c>
      <c r="O1873" s="16">
        <v>-14.8</v>
      </c>
      <c r="P1873">
        <v>0</v>
      </c>
    </row>
    <row r="1874" spans="1:16" x14ac:dyDescent="0.3">
      <c r="A1874" t="s">
        <v>65</v>
      </c>
      <c r="B1874" t="s">
        <v>18</v>
      </c>
      <c r="C1874" t="s">
        <v>18</v>
      </c>
      <c r="D1874" t="s">
        <v>12</v>
      </c>
      <c r="E1874" t="s">
        <v>66</v>
      </c>
      <c r="F1874" t="s">
        <v>13</v>
      </c>
      <c r="G1874" s="15">
        <v>159.71</v>
      </c>
      <c r="H1874" t="s">
        <v>27</v>
      </c>
      <c r="I1874">
        <v>3</v>
      </c>
      <c r="J1874" t="s">
        <v>47</v>
      </c>
      <c r="K1874" t="s">
        <v>45</v>
      </c>
      <c r="L1874" t="s">
        <v>46</v>
      </c>
      <c r="M1874" t="s">
        <v>78</v>
      </c>
      <c r="N1874" s="15">
        <v>178.49</v>
      </c>
      <c r="O1874" s="16">
        <v>-10.5</v>
      </c>
      <c r="P1874">
        <v>0</v>
      </c>
    </row>
    <row r="1875" spans="1:16" x14ac:dyDescent="0.3">
      <c r="A1875" t="s">
        <v>60</v>
      </c>
      <c r="B1875" t="s">
        <v>18</v>
      </c>
      <c r="C1875" t="s">
        <v>18</v>
      </c>
      <c r="D1875" t="s">
        <v>14</v>
      </c>
      <c r="E1875" t="s">
        <v>71</v>
      </c>
      <c r="F1875" t="s">
        <v>9</v>
      </c>
      <c r="G1875" s="15">
        <v>59.21</v>
      </c>
      <c r="H1875" t="s">
        <v>27</v>
      </c>
      <c r="I1875">
        <v>3</v>
      </c>
      <c r="J1875" t="s">
        <v>48</v>
      </c>
      <c r="K1875" t="s">
        <v>46</v>
      </c>
      <c r="L1875" t="s">
        <v>46</v>
      </c>
      <c r="M1875" t="s">
        <v>72</v>
      </c>
      <c r="N1875" s="15">
        <v>65.239999999999995</v>
      </c>
      <c r="O1875" s="16">
        <v>-9.1999999999999993</v>
      </c>
      <c r="P1875">
        <v>0</v>
      </c>
    </row>
    <row r="1876" spans="1:16" x14ac:dyDescent="0.3">
      <c r="A1876" t="s">
        <v>65</v>
      </c>
      <c r="B1876" t="s">
        <v>21</v>
      </c>
      <c r="C1876" t="s">
        <v>62</v>
      </c>
      <c r="D1876" t="s">
        <v>14</v>
      </c>
      <c r="E1876" t="s">
        <v>77</v>
      </c>
      <c r="F1876" t="s">
        <v>9</v>
      </c>
      <c r="G1876" s="15">
        <v>51.37</v>
      </c>
      <c r="H1876" t="s">
        <v>27</v>
      </c>
      <c r="I1876">
        <v>3</v>
      </c>
      <c r="J1876" t="s">
        <v>48</v>
      </c>
      <c r="K1876" t="s">
        <v>46</v>
      </c>
      <c r="L1876" t="s">
        <v>45</v>
      </c>
      <c r="M1876" t="s">
        <v>68</v>
      </c>
      <c r="N1876" s="15">
        <v>70.66</v>
      </c>
      <c r="O1876" s="16">
        <v>-27.3</v>
      </c>
      <c r="P1876">
        <v>0</v>
      </c>
    </row>
    <row r="1877" spans="1:16" x14ac:dyDescent="0.3">
      <c r="A1877" t="s">
        <v>65</v>
      </c>
      <c r="B1877" t="s">
        <v>19</v>
      </c>
      <c r="C1877" t="s">
        <v>19</v>
      </c>
      <c r="D1877" t="s">
        <v>14</v>
      </c>
      <c r="E1877" t="s">
        <v>63</v>
      </c>
      <c r="F1877" t="s">
        <v>9</v>
      </c>
      <c r="G1877" s="15">
        <v>64.23</v>
      </c>
      <c r="H1877" t="s">
        <v>26</v>
      </c>
      <c r="I1877">
        <v>2</v>
      </c>
      <c r="J1877" t="s">
        <v>47</v>
      </c>
      <c r="K1877" t="s">
        <v>46</v>
      </c>
      <c r="L1877" t="s">
        <v>45</v>
      </c>
      <c r="M1877" t="s">
        <v>78</v>
      </c>
      <c r="N1877" s="15">
        <v>68.150000000000006</v>
      </c>
      <c r="O1877" s="16">
        <v>-5.8</v>
      </c>
      <c r="P1877">
        <v>0</v>
      </c>
    </row>
    <row r="1878" spans="1:16" x14ac:dyDescent="0.3">
      <c r="A1878" t="s">
        <v>65</v>
      </c>
      <c r="B1878" t="s">
        <v>17</v>
      </c>
      <c r="C1878" t="s">
        <v>17</v>
      </c>
      <c r="D1878" t="s">
        <v>12</v>
      </c>
      <c r="E1878" t="s">
        <v>66</v>
      </c>
      <c r="F1878" t="s">
        <v>13</v>
      </c>
      <c r="G1878" s="15">
        <v>177.38</v>
      </c>
      <c r="H1878" t="s">
        <v>26</v>
      </c>
      <c r="I1878">
        <v>2</v>
      </c>
      <c r="J1878" t="s">
        <v>47</v>
      </c>
      <c r="K1878" t="s">
        <v>45</v>
      </c>
      <c r="L1878" t="s">
        <v>45</v>
      </c>
      <c r="M1878" t="s">
        <v>78</v>
      </c>
      <c r="N1878" s="15">
        <v>178.49</v>
      </c>
      <c r="O1878" s="16">
        <v>-0.6</v>
      </c>
      <c r="P1878">
        <v>0</v>
      </c>
    </row>
    <row r="1879" spans="1:16" x14ac:dyDescent="0.3">
      <c r="A1879" t="s">
        <v>60</v>
      </c>
      <c r="B1879" t="s">
        <v>19</v>
      </c>
      <c r="C1879" t="s">
        <v>19</v>
      </c>
      <c r="D1879" t="s">
        <v>11</v>
      </c>
      <c r="E1879" t="s">
        <v>70</v>
      </c>
      <c r="F1879" t="s">
        <v>9</v>
      </c>
      <c r="G1879" s="15">
        <v>32.67</v>
      </c>
      <c r="H1879" t="s">
        <v>27</v>
      </c>
      <c r="I1879">
        <v>3</v>
      </c>
      <c r="J1879" t="s">
        <v>48</v>
      </c>
      <c r="K1879" t="s">
        <v>45</v>
      </c>
      <c r="L1879" t="s">
        <v>45</v>
      </c>
      <c r="M1879" t="s">
        <v>59</v>
      </c>
      <c r="N1879" s="15">
        <v>31.4</v>
      </c>
      <c r="O1879" s="16">
        <v>4</v>
      </c>
      <c r="P1879">
        <v>0</v>
      </c>
    </row>
    <row r="1880" spans="1:16" x14ac:dyDescent="0.3">
      <c r="A1880" t="s">
        <v>60</v>
      </c>
      <c r="B1880" t="s">
        <v>18</v>
      </c>
      <c r="C1880" t="s">
        <v>18</v>
      </c>
      <c r="D1880" t="s">
        <v>10</v>
      </c>
      <c r="E1880" t="s">
        <v>58</v>
      </c>
      <c r="F1880" t="s">
        <v>9</v>
      </c>
      <c r="G1880" s="15">
        <v>171.32</v>
      </c>
      <c r="H1880" t="s">
        <v>26</v>
      </c>
      <c r="I1880">
        <v>2</v>
      </c>
      <c r="J1880" t="s">
        <v>47</v>
      </c>
      <c r="K1880" t="s">
        <v>46</v>
      </c>
      <c r="L1880" t="s">
        <v>45</v>
      </c>
      <c r="M1880" t="s">
        <v>72</v>
      </c>
      <c r="N1880" s="15">
        <v>152.03</v>
      </c>
      <c r="O1880" s="16">
        <v>12.7</v>
      </c>
      <c r="P1880">
        <v>0</v>
      </c>
    </row>
    <row r="1881" spans="1:16" x14ac:dyDescent="0.3">
      <c r="A1881" t="s">
        <v>65</v>
      </c>
      <c r="B1881" t="s">
        <v>21</v>
      </c>
      <c r="C1881" t="s">
        <v>62</v>
      </c>
      <c r="D1881" t="s">
        <v>15</v>
      </c>
      <c r="E1881" t="s">
        <v>75</v>
      </c>
      <c r="F1881" t="s">
        <v>9</v>
      </c>
      <c r="G1881" s="15">
        <v>130.72999999999999</v>
      </c>
      <c r="H1881" t="s">
        <v>26</v>
      </c>
      <c r="I1881">
        <v>2</v>
      </c>
      <c r="J1881" t="s">
        <v>47</v>
      </c>
      <c r="K1881" t="s">
        <v>45</v>
      </c>
      <c r="L1881" t="s">
        <v>45</v>
      </c>
      <c r="M1881" t="s">
        <v>61</v>
      </c>
      <c r="N1881" s="15">
        <v>126.9</v>
      </c>
      <c r="O1881" s="16">
        <v>3</v>
      </c>
      <c r="P1881">
        <v>0</v>
      </c>
    </row>
    <row r="1882" spans="1:16" x14ac:dyDescent="0.3">
      <c r="A1882" t="s">
        <v>65</v>
      </c>
      <c r="B1882" t="s">
        <v>22</v>
      </c>
      <c r="C1882" t="s">
        <v>22</v>
      </c>
      <c r="D1882" t="s">
        <v>12</v>
      </c>
      <c r="E1882" t="s">
        <v>80</v>
      </c>
      <c r="F1882" t="s">
        <v>13</v>
      </c>
      <c r="G1882" s="15">
        <v>159.31</v>
      </c>
      <c r="H1882" t="s">
        <v>26</v>
      </c>
      <c r="I1882">
        <v>2</v>
      </c>
      <c r="J1882" t="s">
        <v>47</v>
      </c>
      <c r="K1882" t="s">
        <v>45</v>
      </c>
      <c r="L1882" t="s">
        <v>45</v>
      </c>
      <c r="M1882" t="s">
        <v>68</v>
      </c>
      <c r="N1882" s="15">
        <v>176.57</v>
      </c>
      <c r="O1882" s="16">
        <v>-9.8000000000000007</v>
      </c>
      <c r="P1882">
        <v>0</v>
      </c>
    </row>
    <row r="1883" spans="1:16" x14ac:dyDescent="0.3">
      <c r="A1883" t="s">
        <v>60</v>
      </c>
      <c r="B1883" t="s">
        <v>19</v>
      </c>
      <c r="C1883" t="s">
        <v>19</v>
      </c>
      <c r="D1883" t="s">
        <v>15</v>
      </c>
      <c r="E1883" t="s">
        <v>75</v>
      </c>
      <c r="F1883" t="s">
        <v>9</v>
      </c>
      <c r="G1883" s="15">
        <v>115</v>
      </c>
      <c r="H1883" t="s">
        <v>26</v>
      </c>
      <c r="I1883">
        <v>2</v>
      </c>
      <c r="J1883" t="s">
        <v>48</v>
      </c>
      <c r="K1883" t="s">
        <v>46</v>
      </c>
      <c r="L1883" t="s">
        <v>45</v>
      </c>
      <c r="M1883" t="s">
        <v>72</v>
      </c>
      <c r="N1883" s="15">
        <v>119</v>
      </c>
      <c r="O1883" s="16">
        <v>-3.4</v>
      </c>
      <c r="P1883">
        <v>0</v>
      </c>
    </row>
    <row r="1884" spans="1:16" x14ac:dyDescent="0.3">
      <c r="A1884" t="s">
        <v>65</v>
      </c>
      <c r="B1884" t="s">
        <v>19</v>
      </c>
      <c r="C1884" t="s">
        <v>19</v>
      </c>
      <c r="D1884" t="s">
        <v>15</v>
      </c>
      <c r="E1884" t="s">
        <v>76</v>
      </c>
      <c r="F1884" t="s">
        <v>9</v>
      </c>
      <c r="G1884" s="15">
        <v>140</v>
      </c>
      <c r="H1884" t="s">
        <v>25</v>
      </c>
      <c r="I1884">
        <v>1</v>
      </c>
      <c r="J1884" t="s">
        <v>47</v>
      </c>
      <c r="K1884" t="s">
        <v>45</v>
      </c>
      <c r="L1884" t="s">
        <v>46</v>
      </c>
      <c r="M1884" t="s">
        <v>68</v>
      </c>
      <c r="N1884" s="15">
        <v>126.51</v>
      </c>
      <c r="O1884" s="16">
        <v>10.7</v>
      </c>
      <c r="P1884">
        <v>0</v>
      </c>
    </row>
    <row r="1885" spans="1:16" x14ac:dyDescent="0.3">
      <c r="A1885" t="s">
        <v>57</v>
      </c>
      <c r="B1885" t="s">
        <v>19</v>
      </c>
      <c r="C1885" t="s">
        <v>19</v>
      </c>
      <c r="D1885" t="s">
        <v>8</v>
      </c>
      <c r="E1885" t="s">
        <v>73</v>
      </c>
      <c r="F1885" t="s">
        <v>9</v>
      </c>
      <c r="G1885" s="15">
        <v>87.4</v>
      </c>
      <c r="H1885" t="s">
        <v>26</v>
      </c>
      <c r="I1885">
        <v>2</v>
      </c>
      <c r="J1885" t="s">
        <v>48</v>
      </c>
      <c r="K1885" t="s">
        <v>46</v>
      </c>
      <c r="L1885" t="s">
        <v>46</v>
      </c>
      <c r="M1885" t="s">
        <v>59</v>
      </c>
      <c r="N1885" s="15">
        <v>86.06</v>
      </c>
      <c r="O1885" s="16">
        <v>1.6</v>
      </c>
      <c r="P1885">
        <v>0</v>
      </c>
    </row>
    <row r="1886" spans="1:16" x14ac:dyDescent="0.3">
      <c r="A1886" t="s">
        <v>60</v>
      </c>
      <c r="B1886" t="s">
        <v>18</v>
      </c>
      <c r="C1886" t="s">
        <v>18</v>
      </c>
      <c r="D1886" t="s">
        <v>14</v>
      </c>
      <c r="E1886" t="s">
        <v>77</v>
      </c>
      <c r="F1886" t="s">
        <v>9</v>
      </c>
      <c r="G1886" s="15">
        <v>50.77</v>
      </c>
      <c r="H1886" t="s">
        <v>27</v>
      </c>
      <c r="I1886">
        <v>3</v>
      </c>
      <c r="J1886" t="s">
        <v>47</v>
      </c>
      <c r="K1886" t="s">
        <v>46</v>
      </c>
      <c r="L1886" t="s">
        <v>45</v>
      </c>
      <c r="M1886" t="s">
        <v>64</v>
      </c>
      <c r="N1886" s="15">
        <v>67.13</v>
      </c>
      <c r="O1886" s="16">
        <v>-24.4</v>
      </c>
      <c r="P1886">
        <v>0</v>
      </c>
    </row>
    <row r="1887" spans="1:16" x14ac:dyDescent="0.3">
      <c r="A1887" t="s">
        <v>57</v>
      </c>
      <c r="B1887" t="s">
        <v>22</v>
      </c>
      <c r="C1887" t="s">
        <v>22</v>
      </c>
      <c r="D1887" t="s">
        <v>8</v>
      </c>
      <c r="E1887" t="s">
        <v>73</v>
      </c>
      <c r="F1887" t="s">
        <v>9</v>
      </c>
      <c r="G1887" s="15">
        <v>92.74</v>
      </c>
      <c r="H1887" t="s">
        <v>26</v>
      </c>
      <c r="I1887">
        <v>2</v>
      </c>
      <c r="J1887" t="s">
        <v>48</v>
      </c>
      <c r="K1887" t="s">
        <v>46</v>
      </c>
      <c r="L1887" t="s">
        <v>45</v>
      </c>
      <c r="M1887" t="s">
        <v>72</v>
      </c>
      <c r="N1887" s="15">
        <v>86.06</v>
      </c>
      <c r="O1887" s="16">
        <v>7.8</v>
      </c>
      <c r="P1887">
        <v>0</v>
      </c>
    </row>
    <row r="1888" spans="1:16" x14ac:dyDescent="0.3">
      <c r="A1888" t="s">
        <v>60</v>
      </c>
      <c r="B1888" t="s">
        <v>18</v>
      </c>
      <c r="C1888" t="s">
        <v>18</v>
      </c>
      <c r="D1888" t="s">
        <v>8</v>
      </c>
      <c r="E1888" t="s">
        <v>74</v>
      </c>
      <c r="F1888" t="s">
        <v>9</v>
      </c>
      <c r="G1888" s="15">
        <v>68.14</v>
      </c>
      <c r="H1888" t="s">
        <v>26</v>
      </c>
      <c r="I1888">
        <v>2</v>
      </c>
      <c r="J1888" t="s">
        <v>48</v>
      </c>
      <c r="K1888" t="s">
        <v>45</v>
      </c>
      <c r="L1888" t="s">
        <v>45</v>
      </c>
      <c r="M1888" t="s">
        <v>72</v>
      </c>
      <c r="N1888" s="15">
        <v>78.260000000000005</v>
      </c>
      <c r="O1888" s="16">
        <v>-12.9</v>
      </c>
      <c r="P1888">
        <v>0</v>
      </c>
    </row>
    <row r="1889" spans="1:16" x14ac:dyDescent="0.3">
      <c r="A1889" t="s">
        <v>57</v>
      </c>
      <c r="B1889" t="s">
        <v>20</v>
      </c>
      <c r="C1889" t="s">
        <v>20</v>
      </c>
      <c r="D1889" t="s">
        <v>14</v>
      </c>
      <c r="E1889" t="s">
        <v>77</v>
      </c>
      <c r="F1889" t="s">
        <v>9</v>
      </c>
      <c r="G1889" s="15">
        <v>69.290000000000006</v>
      </c>
      <c r="H1889" t="s">
        <v>26</v>
      </c>
      <c r="I1889">
        <v>2</v>
      </c>
      <c r="J1889" t="s">
        <v>47</v>
      </c>
      <c r="K1889" t="s">
        <v>46</v>
      </c>
      <c r="L1889" t="s">
        <v>46</v>
      </c>
      <c r="M1889" t="s">
        <v>59</v>
      </c>
      <c r="N1889" s="15">
        <v>65.97</v>
      </c>
      <c r="O1889" s="16">
        <v>5</v>
      </c>
      <c r="P1889">
        <v>0</v>
      </c>
    </row>
    <row r="1890" spans="1:16" x14ac:dyDescent="0.3">
      <c r="A1890" t="s">
        <v>60</v>
      </c>
      <c r="B1890" t="s">
        <v>22</v>
      </c>
      <c r="C1890" t="s">
        <v>22</v>
      </c>
      <c r="D1890" t="s">
        <v>15</v>
      </c>
      <c r="E1890" t="s">
        <v>75</v>
      </c>
      <c r="F1890" t="s">
        <v>9</v>
      </c>
      <c r="G1890" s="15">
        <v>110.26</v>
      </c>
      <c r="H1890" t="s">
        <v>27</v>
      </c>
      <c r="I1890">
        <v>3</v>
      </c>
      <c r="J1890" t="s">
        <v>48</v>
      </c>
      <c r="K1890" t="s">
        <v>46</v>
      </c>
      <c r="L1890" t="s">
        <v>46</v>
      </c>
      <c r="M1890" t="s">
        <v>78</v>
      </c>
      <c r="N1890" s="15">
        <v>119</v>
      </c>
      <c r="O1890" s="16">
        <v>-7.3</v>
      </c>
      <c r="P1890">
        <v>0</v>
      </c>
    </row>
    <row r="1891" spans="1:16" x14ac:dyDescent="0.3">
      <c r="A1891" t="s">
        <v>65</v>
      </c>
      <c r="B1891" t="s">
        <v>21</v>
      </c>
      <c r="C1891" t="s">
        <v>62</v>
      </c>
      <c r="D1891" t="s">
        <v>8</v>
      </c>
      <c r="E1891" t="s">
        <v>74</v>
      </c>
      <c r="F1891" t="s">
        <v>9</v>
      </c>
      <c r="G1891" s="15">
        <v>87.24</v>
      </c>
      <c r="H1891" t="s">
        <v>25</v>
      </c>
      <c r="I1891">
        <v>1</v>
      </c>
      <c r="J1891" t="s">
        <v>47</v>
      </c>
      <c r="K1891" t="s">
        <v>45</v>
      </c>
      <c r="L1891" t="s">
        <v>45</v>
      </c>
      <c r="M1891" t="s">
        <v>68</v>
      </c>
      <c r="N1891" s="15">
        <v>91.13</v>
      </c>
      <c r="O1891" s="16">
        <v>-4.3</v>
      </c>
      <c r="P1891">
        <v>0</v>
      </c>
    </row>
    <row r="1892" spans="1:16" x14ac:dyDescent="0.3">
      <c r="A1892" t="s">
        <v>57</v>
      </c>
      <c r="B1892" t="s">
        <v>17</v>
      </c>
      <c r="C1892" t="s">
        <v>17</v>
      </c>
      <c r="D1892" t="s">
        <v>11</v>
      </c>
      <c r="E1892" t="s">
        <v>70</v>
      </c>
      <c r="F1892" t="s">
        <v>9</v>
      </c>
      <c r="G1892" s="15">
        <v>37.770000000000003</v>
      </c>
      <c r="H1892" t="s">
        <v>26</v>
      </c>
      <c r="I1892">
        <v>2</v>
      </c>
      <c r="J1892" t="s">
        <v>48</v>
      </c>
      <c r="K1892" t="s">
        <v>45</v>
      </c>
      <c r="L1892" t="s">
        <v>46</v>
      </c>
      <c r="M1892" t="s">
        <v>59</v>
      </c>
      <c r="N1892" s="15">
        <v>30.5</v>
      </c>
      <c r="O1892" s="16">
        <v>23.8</v>
      </c>
      <c r="P1892">
        <v>1</v>
      </c>
    </row>
    <row r="1893" spans="1:16" x14ac:dyDescent="0.3">
      <c r="A1893" t="s">
        <v>65</v>
      </c>
      <c r="B1893" t="s">
        <v>20</v>
      </c>
      <c r="C1893" t="s">
        <v>20</v>
      </c>
      <c r="D1893" t="s">
        <v>8</v>
      </c>
      <c r="E1893" t="s">
        <v>73</v>
      </c>
      <c r="F1893" t="s">
        <v>9</v>
      </c>
      <c r="G1893" s="15">
        <v>90.91</v>
      </c>
      <c r="H1893" t="s">
        <v>25</v>
      </c>
      <c r="I1893">
        <v>1</v>
      </c>
      <c r="J1893" t="s">
        <v>47</v>
      </c>
      <c r="K1893" t="s">
        <v>45</v>
      </c>
      <c r="L1893" t="s">
        <v>45</v>
      </c>
      <c r="M1893" t="s">
        <v>59</v>
      </c>
      <c r="N1893" s="15">
        <v>88.05</v>
      </c>
      <c r="O1893" s="16">
        <v>3.2</v>
      </c>
      <c r="P1893">
        <v>0</v>
      </c>
    </row>
    <row r="1894" spans="1:16" x14ac:dyDescent="0.3">
      <c r="A1894" t="s">
        <v>57</v>
      </c>
      <c r="B1894" t="s">
        <v>20</v>
      </c>
      <c r="C1894" t="s">
        <v>20</v>
      </c>
      <c r="D1894" t="s">
        <v>14</v>
      </c>
      <c r="E1894" t="s">
        <v>71</v>
      </c>
      <c r="F1894" t="s">
        <v>9</v>
      </c>
      <c r="G1894" s="15">
        <v>80</v>
      </c>
      <c r="H1894" t="s">
        <v>26</v>
      </c>
      <c r="I1894">
        <v>2</v>
      </c>
      <c r="J1894" t="s">
        <v>48</v>
      </c>
      <c r="K1894" t="s">
        <v>45</v>
      </c>
      <c r="L1894" t="s">
        <v>46</v>
      </c>
      <c r="M1894" t="s">
        <v>59</v>
      </c>
      <c r="N1894" s="15">
        <v>65.77</v>
      </c>
      <c r="O1894" s="16">
        <v>21.6</v>
      </c>
      <c r="P1894">
        <v>1</v>
      </c>
    </row>
    <row r="1895" spans="1:16" x14ac:dyDescent="0.3">
      <c r="A1895" t="s">
        <v>65</v>
      </c>
      <c r="B1895" t="s">
        <v>19</v>
      </c>
      <c r="C1895" t="s">
        <v>19</v>
      </c>
      <c r="D1895" t="s">
        <v>11</v>
      </c>
      <c r="E1895" t="s">
        <v>70</v>
      </c>
      <c r="F1895" t="s">
        <v>9</v>
      </c>
      <c r="G1895" s="15">
        <v>36.51</v>
      </c>
      <c r="H1895" t="s">
        <v>27</v>
      </c>
      <c r="I1895">
        <v>3</v>
      </c>
      <c r="J1895" t="s">
        <v>47</v>
      </c>
      <c r="K1895" t="s">
        <v>45</v>
      </c>
      <c r="L1895" t="s">
        <v>45</v>
      </c>
      <c r="M1895" t="s">
        <v>61</v>
      </c>
      <c r="N1895" s="15">
        <v>32.630000000000003</v>
      </c>
      <c r="O1895" s="16">
        <v>11.9</v>
      </c>
      <c r="P1895">
        <v>0</v>
      </c>
    </row>
    <row r="1896" spans="1:16" x14ac:dyDescent="0.3">
      <c r="A1896" t="s">
        <v>57</v>
      </c>
      <c r="B1896" t="s">
        <v>21</v>
      </c>
      <c r="C1896" t="s">
        <v>62</v>
      </c>
      <c r="D1896" t="s">
        <v>12</v>
      </c>
      <c r="E1896" t="s">
        <v>80</v>
      </c>
      <c r="F1896" t="s">
        <v>13</v>
      </c>
      <c r="G1896" s="15">
        <v>189.11</v>
      </c>
      <c r="H1896" t="s">
        <v>25</v>
      </c>
      <c r="I1896">
        <v>1</v>
      </c>
      <c r="J1896" t="s">
        <v>48</v>
      </c>
      <c r="K1896" t="s">
        <v>45</v>
      </c>
      <c r="L1896" t="s">
        <v>46</v>
      </c>
      <c r="M1896" t="s">
        <v>61</v>
      </c>
      <c r="N1896" s="15">
        <v>162.72999999999999</v>
      </c>
      <c r="O1896" s="16">
        <v>16.2</v>
      </c>
      <c r="P1896">
        <v>1</v>
      </c>
    </row>
    <row r="1897" spans="1:16" x14ac:dyDescent="0.3">
      <c r="A1897" t="s">
        <v>57</v>
      </c>
      <c r="B1897" t="s">
        <v>22</v>
      </c>
      <c r="C1897" t="s">
        <v>22</v>
      </c>
      <c r="D1897" t="s">
        <v>12</v>
      </c>
      <c r="E1897" t="s">
        <v>66</v>
      </c>
      <c r="F1897" t="s">
        <v>13</v>
      </c>
      <c r="G1897" s="15">
        <v>191.94</v>
      </c>
      <c r="H1897" t="s">
        <v>26</v>
      </c>
      <c r="I1897">
        <v>2</v>
      </c>
      <c r="J1897" t="s">
        <v>48</v>
      </c>
      <c r="K1897" t="s">
        <v>45</v>
      </c>
      <c r="L1897" t="s">
        <v>45</v>
      </c>
      <c r="M1897" t="s">
        <v>59</v>
      </c>
      <c r="N1897" s="15">
        <v>170.56</v>
      </c>
      <c r="O1897" s="16">
        <v>12.5</v>
      </c>
      <c r="P1897">
        <v>0</v>
      </c>
    </row>
    <row r="1898" spans="1:16" x14ac:dyDescent="0.3">
      <c r="A1898" t="s">
        <v>57</v>
      </c>
      <c r="B1898" t="s">
        <v>18</v>
      </c>
      <c r="C1898" t="s">
        <v>18</v>
      </c>
      <c r="D1898" t="s">
        <v>14</v>
      </c>
      <c r="E1898" t="s">
        <v>77</v>
      </c>
      <c r="F1898" t="s">
        <v>9</v>
      </c>
      <c r="G1898" s="15">
        <v>80</v>
      </c>
      <c r="H1898" t="s">
        <v>25</v>
      </c>
      <c r="I1898">
        <v>1</v>
      </c>
      <c r="J1898" t="s">
        <v>48</v>
      </c>
      <c r="K1898" t="s">
        <v>45</v>
      </c>
      <c r="L1898" t="s">
        <v>46</v>
      </c>
      <c r="M1898" t="s">
        <v>61</v>
      </c>
      <c r="N1898" s="15">
        <v>65.97</v>
      </c>
      <c r="O1898" s="16">
        <v>21.3</v>
      </c>
      <c r="P1898">
        <v>1</v>
      </c>
    </row>
    <row r="1899" spans="1:16" x14ac:dyDescent="0.3">
      <c r="A1899" t="s">
        <v>57</v>
      </c>
      <c r="B1899" t="s">
        <v>19</v>
      </c>
      <c r="C1899" t="s">
        <v>19</v>
      </c>
      <c r="D1899" t="s">
        <v>11</v>
      </c>
      <c r="E1899" t="s">
        <v>70</v>
      </c>
      <c r="F1899" t="s">
        <v>9</v>
      </c>
      <c r="G1899" s="15">
        <v>27.86</v>
      </c>
      <c r="H1899" t="s">
        <v>26</v>
      </c>
      <c r="I1899">
        <v>2</v>
      </c>
      <c r="J1899" t="s">
        <v>48</v>
      </c>
      <c r="K1899" t="s">
        <v>46</v>
      </c>
      <c r="L1899" t="s">
        <v>45</v>
      </c>
      <c r="M1899" t="s">
        <v>72</v>
      </c>
      <c r="N1899" s="15">
        <v>30.5</v>
      </c>
      <c r="O1899" s="16">
        <v>-8.6999999999999993</v>
      </c>
      <c r="P1899">
        <v>0</v>
      </c>
    </row>
    <row r="1900" spans="1:16" x14ac:dyDescent="0.3">
      <c r="A1900" t="s">
        <v>60</v>
      </c>
      <c r="B1900" t="s">
        <v>21</v>
      </c>
      <c r="C1900" t="s">
        <v>62</v>
      </c>
      <c r="D1900" t="s">
        <v>11</v>
      </c>
      <c r="E1900" t="s">
        <v>70</v>
      </c>
      <c r="F1900" t="s">
        <v>9</v>
      </c>
      <c r="G1900" s="15">
        <v>26.25</v>
      </c>
      <c r="H1900" t="s">
        <v>26</v>
      </c>
      <c r="I1900">
        <v>2</v>
      </c>
      <c r="J1900" t="s">
        <v>47</v>
      </c>
      <c r="K1900" t="s">
        <v>46</v>
      </c>
      <c r="L1900" t="s">
        <v>45</v>
      </c>
      <c r="M1900" t="s">
        <v>78</v>
      </c>
      <c r="N1900" s="15">
        <v>31.4</v>
      </c>
      <c r="O1900" s="16">
        <v>-16.399999999999999</v>
      </c>
      <c r="P1900">
        <v>0</v>
      </c>
    </row>
    <row r="1901" spans="1:16" x14ac:dyDescent="0.3">
      <c r="A1901" t="s">
        <v>57</v>
      </c>
      <c r="B1901" t="s">
        <v>21</v>
      </c>
      <c r="C1901" t="s">
        <v>62</v>
      </c>
      <c r="D1901" t="s">
        <v>12</v>
      </c>
      <c r="E1901" t="s">
        <v>66</v>
      </c>
      <c r="F1901" t="s">
        <v>13</v>
      </c>
      <c r="G1901" s="15">
        <v>163.13999999999999</v>
      </c>
      <c r="H1901" t="s">
        <v>26</v>
      </c>
      <c r="I1901">
        <v>2</v>
      </c>
      <c r="J1901" t="s">
        <v>47</v>
      </c>
      <c r="K1901" t="s">
        <v>46</v>
      </c>
      <c r="L1901" t="s">
        <v>45</v>
      </c>
      <c r="M1901" t="s">
        <v>72</v>
      </c>
      <c r="N1901" s="15">
        <v>170.56</v>
      </c>
      <c r="O1901" s="16">
        <v>-4.3</v>
      </c>
      <c r="P19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Explorer</vt:lpstr>
      <vt:lpstr>q1_commodity</vt:lpstr>
      <vt:lpstr>q2_market</vt:lpstr>
      <vt:lpstr>q3_stock_level</vt:lpstr>
      <vt:lpstr>q4_stock_premium</vt:lpstr>
      <vt:lpstr>q5_market_premium</vt:lpstr>
      <vt:lpstr>q6_anomaly_share</vt:lpstr>
      <vt:lpstr>q7_index_anomaly</vt:lpstr>
      <vt:lpstr>q8_weather_harvest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snk rian</cp:lastModifiedBy>
  <dcterms:created xsi:type="dcterms:W3CDTF">2026-09-30T20:48:17Z</dcterms:created>
  <dcterms:modified xsi:type="dcterms:W3CDTF">2026-09-30T20:55:13Z</dcterms:modified>
</cp:coreProperties>
</file>